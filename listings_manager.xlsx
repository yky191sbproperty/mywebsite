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9635" windowHeight="7695" tabRatio="500" firstSheet="1" activeTab="1"/>
  </bookViews>
  <sheets>
    <sheet name="📖 使用说明 Guide" sheetId="1" r:id="rId1"/>
    <sheet name="🏠 出租房源 Rentals" sheetId="2" r:id="rId2"/>
    <sheet name="🏡 出售房源 For Sale" sheetId="3" r:id="rId3"/>
    <sheet name="🏗️ 新楼盘 New Launches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<sst xmlns="http://schemas.openxmlformats.org/spreadsheetml/2006/main" count="274" uniqueCount="155">
  <si>
    <t>🏠 Rex Yap 房源管理系统  ·  Property Listings Manager</t>
  </si>
  <si>
    <t>📋 使用说明  |  How to Use  — convert.py 自动生成中英马三语</t>
  </si>
  <si>
    <t>步骤</t>
  </si>
  <si>
    <t>操作 Action</t>
  </si>
  <si>
    <t>中文说明</t>
  </si>
  <si>
    <t>English</t>
  </si>
  <si>
    <t>1</t>
  </si>
  <si>
    <t>填写房源</t>
  </si>
  <si>
    <t>在对应工作表填写 A~M 列
（状态、徽章、图片、楼名、房间数等）</t>
  </si>
  <si>
    <t>Fill columns A-M in the correct sheet
(Status, Badge, Image, Name, Beds...)</t>
  </si>
  <si>
    <t>★列必填</t>
  </si>
  <si>
    <t>2</t>
  </si>
  <si>
    <t>设置状态</t>
  </si>
  <si>
    <t>A列：active=显示
inactive=隐藏</t>
  </si>
  <si>
    <t>Column A:
active=show | inactive=hide</t>
  </si>
  <si>
    <t>3</t>
  </si>
  <si>
    <t>保存文件</t>
  </si>
  <si>
    <t>Ctrl+S 保存为 .xlsx</t>
  </si>
  <si>
    <t>Ctrl+S — save as .xlsx</t>
  </si>
  <si>
    <t>勿改格式</t>
  </si>
  <si>
    <t>4</t>
  </si>
  <si>
    <t>运行脚本</t>
  </si>
  <si>
    <t>终端运行：
python convert.py</t>
  </si>
  <si>
    <t>Terminal:
python convert.py</t>
  </si>
  <si>
    <t>需 openpyxl</t>
  </si>
  <si>
    <t>5</t>
  </si>
  <si>
    <t>上传 GitHub</t>
  </si>
  <si>
    <t>将 listingsData.js 上传至
GitHub 替换旧文件</t>
  </si>
  <si>
    <t>Upload listingsData.js to
GitHub repository</t>
  </si>
  <si>
    <t>6</t>
  </si>
  <si>
    <t>刷新网站</t>
  </si>
  <si>
    <t>刷新网页即看到最新房源
（中英马三语自动生成）</t>
  </si>
  <si>
    <t>Refresh website to see
listings in ZH/EN/MS</t>
  </si>
  <si>
    <t>🌐 自动翻译词库（无需手动翻译，convert.py 内建支持）</t>
  </si>
  <si>
    <t>类别</t>
  </si>
  <si>
    <t>中文（Excel 填写）</t>
  </si>
  <si>
    <t>English 自动生成</t>
  </si>
  <si>
    <t>Bahasa Melayu 自动生成</t>
  </si>
  <si>
    <t>城市</t>
  </si>
  <si>
    <t>亚庇</t>
  </si>
  <si>
    <t>Kota Kinabalu</t>
  </si>
  <si>
    <t>斗湖</t>
  </si>
  <si>
    <t>Tawau</t>
  </si>
  <si>
    <t>山打根</t>
  </si>
  <si>
    <t>Sandakan</t>
  </si>
  <si>
    <t>D列 楼名</t>
  </si>
  <si>
    <t>拿笃</t>
  </si>
  <si>
    <t>Lahad Datu</t>
  </si>
  <si>
    <t>设施</t>
  </si>
  <si>
    <t>游泳池</t>
  </si>
  <si>
    <t>Swimming Pool</t>
  </si>
  <si>
    <t>Kolam Renang</t>
  </si>
  <si>
    <t>H列 设施</t>
  </si>
  <si>
    <t>健身室</t>
  </si>
  <si>
    <t>Gymnasium</t>
  </si>
  <si>
    <t>Gim</t>
  </si>
  <si>
    <t>BBQ区</t>
  </si>
  <si>
    <t>BBQ Area</t>
  </si>
  <si>
    <t>Kawasan BBQ</t>
  </si>
  <si>
    <t>儿童游乐场</t>
  </si>
  <si>
    <t>Children's Playground</t>
  </si>
  <si>
    <t>Taman Permainan Kanak-Kanak</t>
  </si>
  <si>
    <t>有盖停车场</t>
  </si>
  <si>
    <t>Covered Parking</t>
  </si>
  <si>
    <t>Tempat Letak Kereta Berteduh</t>
  </si>
  <si>
    <t>羽毛球场</t>
  </si>
  <si>
    <t>Badminton Court</t>
  </si>
  <si>
    <t>Gelanggang Badminton</t>
  </si>
  <si>
    <t>慢跑径</t>
  </si>
  <si>
    <t>Jogging Track</t>
  </si>
  <si>
    <t>Laluan Berjoging</t>
  </si>
  <si>
    <t>保安</t>
  </si>
  <si>
    <t>24小时保安</t>
  </si>
  <si>
    <t>24-Hour Security Guard</t>
  </si>
  <si>
    <t>Pengawal Keselamatan 24 Jam</t>
  </si>
  <si>
    <t>I列 保安</t>
  </si>
  <si>
    <t>保安亭</t>
  </si>
  <si>
    <t>Security Booth</t>
  </si>
  <si>
    <t>Pondok Keselamatan</t>
  </si>
  <si>
    <t>CCTV</t>
  </si>
  <si>
    <t>CCTV监控</t>
  </si>
  <si>
    <t>CCTV Surveillance</t>
  </si>
  <si>
    <t>Pengawasan CCTV</t>
  </si>
  <si>
    <t>J列 CCTV</t>
  </si>
  <si>
    <t>门禁</t>
  </si>
  <si>
    <t>等级1门禁</t>
  </si>
  <si>
    <t>Level 1 Access Card</t>
  </si>
  <si>
    <t>Kad Akses Tahap 1</t>
  </si>
  <si>
    <t>K列 门禁</t>
  </si>
  <si>
    <t>等级3门禁</t>
  </si>
  <si>
    <t>Level 3 Access Card</t>
  </si>
  <si>
    <t>Kad Akses Tahap 3</t>
  </si>
  <si>
    <t>等级6门禁</t>
  </si>
  <si>
    <t>Level 6 Access Card</t>
  </si>
  <si>
    <t>Kad Akses Tahap 6</t>
  </si>
  <si>
    <t>价格(出租)</t>
  </si>
  <si>
    <t>2800</t>
  </si>
  <si>
    <t>💰 Monthly Rent RM 2,800</t>
  </si>
  <si>
    <t>💰 Sewa Bulanan RM 2,800</t>
  </si>
  <si>
    <t>L列 价格</t>
  </si>
  <si>
    <t>价格(出售)</t>
  </si>
  <si>
    <t>500000</t>
  </si>
  <si>
    <t>💰 Selling Price RM 500,000</t>
  </si>
  <si>
    <t>💰 Harga Jualan RM 500,000</t>
  </si>
  <si>
    <t>新楼盘</t>
  </si>
  <si>
    <t>任何值</t>
  </si>
  <si>
    <t>🔥 Price Upon Request</t>
  </si>
  <si>
    <t>🔥 Harga atas Permintaan</t>
  </si>
  <si>
    <t>💡 提示：如需自定义翻译，可在 Excel N~AB 列（⚡列）直接填写，优先级高于自动生成。  |  Tip: To override, fill ⚡ columns (N-AB) directly — they take priority over auto-generation.</t>
  </si>
  <si>
    <t>🏠 出租房源 Rentals</t>
  </si>
  <si>
    <t>✏️ 你只需填这些  |  Only fill these columns</t>
  </si>
  <si>
    <t>状态
Status ★</t>
  </si>
  <si>
    <t>徽章 Badge ★
(下拉选择)</t>
  </si>
  <si>
    <t>图片文件名
Image File</t>
  </si>
  <si>
    <t>楼名·地点 ★
Name · Location</t>
  </si>
  <si>
    <t>房间数 ★
Bedrooms</t>
  </si>
  <si>
    <t>卫生间数
Bathrooms</t>
  </si>
  <si>
    <t>面积 sqft
(数字)</t>
  </si>
  <si>
    <t>娱乐设施
Facilities</t>
  </si>
  <si>
    <t>🔒 保安人员
Guard Type</t>
  </si>
  <si>
    <t>📷 CCTV
监控</t>
  </si>
  <si>
    <t>🚪 门禁
Access Level</t>
  </si>
  <si>
    <t>价格 RM ★
(数字)</t>
  </si>
  <si>
    <t>备注
Remarks</t>
  </si>
  <si>
    <t>⚡ Icon</t>
  </si>
  <si>
    <t>⚡ 标题 ZH</t>
  </si>
  <si>
    <t>⚡ Title EN</t>
  </si>
  <si>
    <t>⚡ Title MS</t>
  </si>
  <si>
    <t>⚡ 特点 ZH</t>
  </si>
  <si>
    <t>⚡ Features EN</t>
  </si>
  <si>
    <t>⚡ Feat MS</t>
  </si>
  <si>
    <r>
      <t>⚡</t>
    </r>
    <r>
      <rPr>
        <b/>
        <sz val="9"/>
        <color rgb="FF1E3A5F"/>
        <rFont val="Noto Sans CJK SC"/>
        <charset val="1"/>
      </rPr>
      <t xml:space="preserve"> </t>
    </r>
    <r>
      <rPr>
        <b/>
        <sz val="9"/>
        <color rgb="FF1E3A5F"/>
        <rFont val="宋体"/>
        <charset val="1"/>
      </rPr>
      <t>保安摘要</t>
    </r>
    <r>
      <rPr>
        <b/>
        <sz val="9"/>
        <color rgb="FF1E3A5F"/>
        <rFont val="Noto Sans CJK SC"/>
        <charset val="1"/>
      </rPr>
      <t xml:space="preserve"> ZH</t>
    </r>
  </si>
  <si>
    <t>⚡ 价格 ZH</t>
  </si>
  <si>
    <t>⚡ Price EN</t>
  </si>
  <si>
    <t>⚡ Price MS</t>
  </si>
  <si>
    <t>⚡ WA ZH</t>
  </si>
  <si>
    <t>⚡ WA EN</t>
  </si>
  <si>
    <t>(spare)</t>
  </si>
  <si>
    <t>⚡ WA MS</t>
  </si>
  <si>
    <t>inactive</t>
  </si>
  <si>
    <t>🏢 Condo 公寓</t>
  </si>
  <si>
    <t>condo_kk_1.jpg</t>
  </si>
  <si>
    <t>海滨公寓 | 亚庇</t>
  </si>
  <si>
    <t>950</t>
  </si>
  <si>
    <t>游泳池·健身室·BBQ区</t>
  </si>
  <si>
    <t>新上市 New Listing</t>
  </si>
  <si>
    <t>active</t>
  </si>
  <si>
    <t>codo_1.jpg,codo_2.jpg,codo_3.jpg,codo_4.jpg,codo_5.jpg,codo_6.jpg</t>
  </si>
  <si>
    <t>Tiara ParkHome| Karjang</t>
  </si>
  <si>
    <t>业主急售 Urgent</t>
  </si>
  <si>
    <t>🏡 出售房源 For Sale</t>
  </si>
  <si>
    <t>⚡ 保安摘要 ZH</t>
  </si>
  <si>
    <t>🏗️ 新楼盘 New Launches</t>
  </si>
  <si>
    <r>
      <t>娱乐设施</t>
    </r>
    <r>
      <rPr>
        <b/>
        <sz val="9"/>
        <color rgb="FF1E3A5F"/>
        <rFont val="Noto Sans CJK SC"/>
        <charset val="1"/>
      </rPr>
      <t xml:space="preserve">
Facilities</t>
    </r>
  </si>
  <si>
    <r>
      <t>游泳池</t>
    </r>
    <r>
      <rPr>
        <i/>
        <sz val="9"/>
        <color rgb="FF888888"/>
        <rFont val="Noto Sans CJK SC"/>
        <charset val="1"/>
      </rPr>
      <t>·</t>
    </r>
    <r>
      <rPr>
        <i/>
        <sz val="9"/>
        <color rgb="FF888888"/>
        <rFont val="宋体"/>
        <charset val="1"/>
      </rPr>
      <t>健身室</t>
    </r>
    <r>
      <rPr>
        <i/>
        <sz val="9"/>
        <color rgb="FF888888"/>
        <rFont val="Noto Sans CJK SC"/>
        <charset val="1"/>
      </rPr>
      <t>·BBQ</t>
    </r>
    <r>
      <rPr>
        <i/>
        <sz val="9"/>
        <color rgb="FF888888"/>
        <rFont val="宋体"/>
        <charset val="1"/>
      </rPr>
      <t>区</t>
    </r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</si>
</sst>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47">
    <font>
      <sz val="11"/>
      <color theme="1"/>
      <name val="Calibri"/>
      <charset val="1"/>
    </font>
    <font>
      <b/>
      <sz val="14"/>
      <color rgb="FFFFFFFF"/>
      <name val="Noto Sans CJK SC"/>
      <charset val="1"/>
    </font>
    <font>
      <b/>
      <sz val="10"/>
      <color rgb="FF1E3A5F"/>
      <name val="Noto Sans CJK SC"/>
      <charset val="1"/>
    </font>
    <font>
      <b/>
      <sz val="9"/>
      <color rgb="FF1E3A5F"/>
      <name val="Noto Sans CJK SC"/>
      <charset val="1"/>
    </font>
    <font>
      <b/>
      <sz val="9"/>
      <color rgb="FF1E3A5F"/>
      <name val="宋体"/>
      <charset val="1"/>
    </font>
    <font>
      <b/>
      <sz val="9"/>
      <color rgb="FF1E3A5F"/>
      <name val="Arial"/>
      <charset val="1"/>
    </font>
    <font>
      <i/>
      <sz val="9"/>
      <color rgb="FF888888"/>
      <name val="Calibri"/>
      <charset val="1"/>
    </font>
    <font>
      <i/>
      <sz val="9"/>
      <color rgb="FF888888"/>
      <name val="Arial"/>
      <charset val="1"/>
    </font>
    <font>
      <i/>
      <sz val="9"/>
      <color rgb="FF888888"/>
      <name val="Noto Sans CJK SC"/>
      <charset val="1"/>
    </font>
    <font>
      <i/>
      <sz val="9"/>
      <color rgb="FF888888"/>
      <name val="宋体"/>
      <charset val="1"/>
    </font>
    <font>
      <sz val="10"/>
      <color rgb="FF222222"/>
      <name val="Arial"/>
      <charset val="1"/>
    </font>
    <font>
      <sz val="9"/>
      <color rgb="FF2E6DA4"/>
      <name val="Arial"/>
      <charset val="1"/>
    </font>
    <font>
      <sz val="10"/>
      <color rgb="FF222222"/>
      <name val="宋体"/>
      <charset val="1"/>
    </font>
    <font>
      <b/>
      <sz val="14"/>
      <color rgb="FFFFFFFF"/>
      <name val="Arial"/>
      <charset val="134"/>
    </font>
    <font>
      <sz val="10"/>
      <color rgb="FF000000"/>
      <name val="Arial"/>
      <charset val="134"/>
    </font>
    <font>
      <b/>
      <sz val="11"/>
      <color rgb="FF1E3A5F"/>
      <name val="Arial"/>
      <charset val="134"/>
    </font>
    <font>
      <b/>
      <sz val="10"/>
      <color rgb="FFFFFFFF"/>
      <name val="Arial"/>
      <charset val="134"/>
    </font>
    <font>
      <b/>
      <sz val="12"/>
      <color rgb="FFFFFFFF"/>
      <name val="Arial"/>
      <charset val="134"/>
    </font>
    <font>
      <b/>
      <sz val="9"/>
      <color rgb="FF1E3A5F"/>
      <name val="Arial"/>
      <charset val="134"/>
    </font>
    <font>
      <sz val="9"/>
      <color rgb="FF333333"/>
      <name val="Arial"/>
      <charset val="134"/>
    </font>
    <font>
      <sz val="8"/>
      <color rgb="FF888888"/>
      <name val="Arial"/>
      <charset val="134"/>
    </font>
    <font>
      <b/>
      <sz val="11"/>
      <color rgb="FF2E7D32"/>
      <name val="Arial"/>
      <charset val="134"/>
    </font>
    <font>
      <b/>
      <sz val="9"/>
      <color rgb="FFFFFFFF"/>
      <name val="Arial"/>
      <charset val="134"/>
    </font>
    <font>
      <sz val="9"/>
      <color rgb="FF2E7D32"/>
      <name val="Arial"/>
      <charset val="134"/>
    </font>
    <font>
      <sz val="9"/>
      <color rgb="FF2E7D32"/>
      <name val="宋体"/>
      <charset val="134"/>
    </font>
    <font>
      <i/>
      <sz val="9"/>
      <color rgb="FF1565C0"/>
      <name val="Arial"/>
      <charset val="134"/>
    </font>
    <font>
      <sz val="10"/>
      <name val="Arial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theme="1"/>
      <name val="Calibri"/>
      <charset val="134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49">
    <fill>
      <patternFill patternType="none"/>
    </fill>
    <fill>
      <patternFill patternType="gray125"/>
    </fill>
    <fill>
      <patternFill patternType="solid">
        <fgColor rgb="FF1E3A5F"/>
        <bgColor rgb="FF333333"/>
      </patternFill>
    </fill>
    <fill>
      <patternFill patternType="solid">
        <fgColor rgb="FFFFFDE7"/>
        <bgColor rgb="FFFAFAFA"/>
      </patternFill>
    </fill>
    <fill>
      <patternFill patternType="solid">
        <fgColor rgb="FFFCE4EC"/>
        <bgColor rgb="FFFEE2E2"/>
      </patternFill>
    </fill>
    <fill>
      <patternFill patternType="solid">
        <fgColor rgb="FFEDE7F6"/>
        <bgColor rgb="FFFCE4EC"/>
      </patternFill>
    </fill>
    <fill>
      <patternFill patternType="solid">
        <fgColor rgb="FFD9E8F5"/>
        <bgColor rgb="FFEDE7F6"/>
      </patternFill>
    </fill>
    <fill>
      <patternFill patternType="solid">
        <fgColor rgb="FFE8F5E9"/>
        <bgColor rgb="FFEDE7F6"/>
      </patternFill>
    </fill>
    <fill>
      <patternFill patternType="solid">
        <fgColor rgb="FFFAFAFA"/>
        <bgColor rgb="FFFFFFFF"/>
      </patternFill>
    </fill>
    <fill>
      <patternFill patternType="solid">
        <fgColor rgb="FF1E3A5F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1565C0"/>
        <bgColor indexed="64"/>
      </patternFill>
    </fill>
    <fill>
      <patternFill patternType="solid">
        <fgColor rgb="FF1976D2"/>
        <bgColor indexed="64"/>
      </patternFill>
    </fill>
    <fill>
      <patternFill patternType="solid">
        <fgColor rgb="FFFAFAFA"/>
        <bgColor indexed="64"/>
      </patternFill>
    </fill>
    <fill>
      <patternFill patternType="solid">
        <fgColor rgb="FFF0F4FF"/>
        <bgColor indexed="64"/>
      </patternFill>
    </fill>
    <fill>
      <patternFill patternType="solid">
        <fgColor rgb="FFE8F5E9"/>
        <bgColor indexed="64"/>
      </patternFill>
    </fill>
    <fill>
      <patternFill patternType="solid">
        <fgColor rgb="FF388E3C"/>
        <bgColor indexed="64"/>
      </patternFill>
    </fill>
    <fill>
      <patternFill patternType="solid">
        <fgColor rgb="FFE3F2FD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26" fillId="0" borderId="0"/>
    <xf numFmtId="44" fontId="26" fillId="0" borderId="0"/>
    <xf numFmtId="9" fontId="26" fillId="0" borderId="0"/>
    <xf numFmtId="41" fontId="26" fillId="0" borderId="0"/>
    <xf numFmtId="42" fontId="26" fillId="0" borderId="0"/>
    <xf numFmtId="0" fontId="27" fillId="0" borderId="0">
      <alignment vertical="center"/>
    </xf>
    <xf numFmtId="0" fontId="28" fillId="0" borderId="0">
      <alignment vertical="center"/>
    </xf>
    <xf numFmtId="0" fontId="29" fillId="18" borderId="2">
      <alignment vertical="center"/>
    </xf>
    <xf numFmtId="0" fontId="30" fillId="0" borderId="0">
      <alignment vertical="center"/>
    </xf>
    <xf numFmtId="0" fontId="31" fillId="0" borderId="0">
      <alignment vertical="center"/>
    </xf>
    <xf numFmtId="0" fontId="32" fillId="0" borderId="0">
      <alignment vertical="center"/>
    </xf>
    <xf numFmtId="0" fontId="33" fillId="0" borderId="3">
      <alignment vertical="center"/>
    </xf>
    <xf numFmtId="0" fontId="34" fillId="0" borderId="3">
      <alignment vertical="center"/>
    </xf>
    <xf numFmtId="0" fontId="35" fillId="0" borderId="4">
      <alignment vertical="center"/>
    </xf>
    <xf numFmtId="0" fontId="35" fillId="0" borderId="0">
      <alignment vertical="center"/>
    </xf>
    <xf numFmtId="0" fontId="36" fillId="19" borderId="5">
      <alignment vertical="center"/>
    </xf>
    <xf numFmtId="0" fontId="37" fillId="20" borderId="6">
      <alignment vertical="center"/>
    </xf>
    <xf numFmtId="0" fontId="38" fillId="20" borderId="5">
      <alignment vertical="center"/>
    </xf>
    <xf numFmtId="0" fontId="39" fillId="21" borderId="7">
      <alignment vertical="center"/>
    </xf>
    <xf numFmtId="0" fontId="40" fillId="0" borderId="8">
      <alignment vertical="center"/>
    </xf>
    <xf numFmtId="0" fontId="41" fillId="0" borderId="9">
      <alignment vertical="center"/>
    </xf>
    <xf numFmtId="0" fontId="42" fillId="22" borderId="0">
      <alignment vertical="center"/>
    </xf>
    <xf numFmtId="0" fontId="43" fillId="23" borderId="0">
      <alignment vertical="center"/>
    </xf>
    <xf numFmtId="0" fontId="44" fillId="24" borderId="0">
      <alignment vertical="center"/>
    </xf>
    <xf numFmtId="0" fontId="45" fillId="25" borderId="0">
      <alignment vertical="center"/>
    </xf>
    <xf numFmtId="0" fontId="46" fillId="26" borderId="0">
      <alignment vertical="center"/>
    </xf>
    <xf numFmtId="0" fontId="46" fillId="27" borderId="0">
      <alignment vertical="center"/>
    </xf>
    <xf numFmtId="0" fontId="45" fillId="28" borderId="0">
      <alignment vertical="center"/>
    </xf>
    <xf numFmtId="0" fontId="45" fillId="29" borderId="0">
      <alignment vertical="center"/>
    </xf>
    <xf numFmtId="0" fontId="46" fillId="30" borderId="0">
      <alignment vertical="center"/>
    </xf>
    <xf numFmtId="0" fontId="46" fillId="31" borderId="0">
      <alignment vertical="center"/>
    </xf>
    <xf numFmtId="0" fontId="45" fillId="32" borderId="0">
      <alignment vertical="center"/>
    </xf>
    <xf numFmtId="0" fontId="45" fillId="33" borderId="0">
      <alignment vertical="center"/>
    </xf>
    <xf numFmtId="0" fontId="46" fillId="34" borderId="0">
      <alignment vertical="center"/>
    </xf>
    <xf numFmtId="0" fontId="46" fillId="35" borderId="0">
      <alignment vertical="center"/>
    </xf>
    <xf numFmtId="0" fontId="45" fillId="36" borderId="0">
      <alignment vertical="center"/>
    </xf>
    <xf numFmtId="0" fontId="45" fillId="37" borderId="0">
      <alignment vertical="center"/>
    </xf>
    <xf numFmtId="0" fontId="46" fillId="38" borderId="0">
      <alignment vertical="center"/>
    </xf>
    <xf numFmtId="0" fontId="46" fillId="39" borderId="0">
      <alignment vertical="center"/>
    </xf>
    <xf numFmtId="0" fontId="45" fillId="40" borderId="0">
      <alignment vertical="center"/>
    </xf>
    <xf numFmtId="0" fontId="45" fillId="41" borderId="0">
      <alignment vertical="center"/>
    </xf>
    <xf numFmtId="0" fontId="46" fillId="42" borderId="0">
      <alignment vertical="center"/>
    </xf>
    <xf numFmtId="0" fontId="46" fillId="43" borderId="0">
      <alignment vertical="center"/>
    </xf>
    <xf numFmtId="0" fontId="45" fillId="44" borderId="0">
      <alignment vertical="center"/>
    </xf>
    <xf numFmtId="0" fontId="45" fillId="45" borderId="0">
      <alignment vertical="center"/>
    </xf>
    <xf numFmtId="0" fontId="46" fillId="46" borderId="0">
      <alignment vertical="center"/>
    </xf>
    <xf numFmtId="0" fontId="46" fillId="47" borderId="0">
      <alignment vertical="center"/>
    </xf>
    <xf numFmtId="0" fontId="45" fillId="48" borderId="0">
      <alignment vertical="center"/>
    </xf>
  </cellStyleXfs>
  <cellXfs count="46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0" fontId="2" fillId="3" borderId="0" xfId="0" applyFont="1" applyFill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4" borderId="1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horizontal="center" vertical="center" wrapText="1"/>
    </xf>
    <xf numFmtId="0" fontId="3" fillId="6" borderId="1" xfId="0" applyFont="1" applyFill="1" applyBorder="1" applyAlignment="1">
      <alignment horizontal="center" vertical="center" wrapText="1"/>
    </xf>
    <xf numFmtId="0" fontId="5" fillId="7" borderId="1" xfId="0" applyFont="1" applyFill="1" applyBorder="1" applyAlignment="1">
      <alignment horizontal="center" vertical="center" wrapText="1"/>
    </xf>
    <xf numFmtId="0" fontId="6" fillId="8" borderId="1" xfId="0" applyFont="1" applyFill="1" applyBorder="1" applyAlignment="1">
      <alignment horizontal="left" vertical="center" wrapText="1"/>
    </xf>
    <xf numFmtId="0" fontId="7" fillId="8" borderId="1" xfId="0" applyFont="1" applyFill="1" applyBorder="1" applyAlignment="1">
      <alignment horizontal="left" vertical="center" wrapText="1"/>
    </xf>
    <xf numFmtId="0" fontId="8" fillId="8" borderId="1" xfId="0" applyFont="1" applyFill="1" applyBorder="1" applyAlignment="1">
      <alignment horizontal="left" vertical="center" wrapText="1"/>
    </xf>
    <xf numFmtId="0" fontId="9" fillId="8" borderId="1" xfId="0" applyFont="1" applyFill="1" applyBorder="1" applyAlignment="1">
      <alignment horizontal="left" vertical="center" wrapText="1"/>
    </xf>
    <xf numFmtId="0" fontId="10" fillId="3" borderId="1" xfId="0" applyFont="1" applyFill="1" applyBorder="1" applyAlignment="1">
      <alignment horizontal="left" vertical="center" wrapText="1"/>
    </xf>
    <xf numFmtId="0" fontId="10" fillId="4" borderId="1" xfId="0" applyFont="1" applyFill="1" applyBorder="1" applyAlignment="1">
      <alignment horizontal="left" vertical="center" wrapText="1"/>
    </xf>
    <xf numFmtId="0" fontId="10" fillId="5" borderId="1" xfId="0" applyFont="1" applyFill="1" applyBorder="1" applyAlignment="1">
      <alignment horizontal="left" vertical="center" wrapText="1"/>
    </xf>
    <xf numFmtId="0" fontId="11" fillId="6" borderId="1" xfId="0" applyFont="1" applyFill="1" applyBorder="1" applyAlignment="1">
      <alignment horizontal="left" vertical="center" wrapText="1"/>
    </xf>
    <xf numFmtId="0" fontId="11" fillId="4" borderId="1" xfId="0" applyFont="1" applyFill="1" applyBorder="1" applyAlignment="1">
      <alignment horizontal="left" vertical="center" wrapText="1"/>
    </xf>
    <xf numFmtId="0" fontId="11" fillId="7" borderId="1" xfId="0" applyFont="1" applyFill="1" applyBorder="1" applyAlignment="1">
      <alignment horizontal="left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12" fillId="3" borderId="1" xfId="0" applyFont="1" applyFill="1" applyBorder="1" applyAlignment="1">
      <alignment horizontal="left" vertical="center" wrapText="1"/>
    </xf>
    <xf numFmtId="0" fontId="13" fillId="9" borderId="0" xfId="0" applyFont="1" applyFill="1" applyAlignment="1">
      <alignment horizontal="center" vertical="center" wrapText="1"/>
    </xf>
    <xf numFmtId="0" fontId="14" fillId="9" borderId="0" xfId="0" applyFont="1" applyFill="1"/>
    <xf numFmtId="0" fontId="15" fillId="10" borderId="0" xfId="0" applyFont="1" applyFill="1" applyAlignment="1">
      <alignment horizontal="left" vertical="center" wrapText="1"/>
    </xf>
    <xf numFmtId="0" fontId="14" fillId="10" borderId="0" xfId="0" applyFont="1" applyFill="1"/>
    <xf numFmtId="0" fontId="14" fillId="0" borderId="0" xfId="0" applyFont="1"/>
    <xf numFmtId="0" fontId="16" fillId="11" borderId="0" xfId="0" applyFont="1" applyFill="1" applyAlignment="1">
      <alignment horizontal="center" vertical="center" wrapText="1"/>
    </xf>
    <xf numFmtId="0" fontId="16" fillId="11" borderId="0" xfId="0" applyFont="1" applyFill="1" applyAlignment="1">
      <alignment horizontal="left" vertical="center" wrapText="1"/>
    </xf>
    <xf numFmtId="0" fontId="17" fillId="12" borderId="0" xfId="0" applyFont="1" applyFill="1" applyAlignment="1">
      <alignment horizontal="center" vertical="center" wrapText="1"/>
    </xf>
    <xf numFmtId="0" fontId="18" fillId="13" borderId="0" xfId="0" applyFont="1" applyFill="1" applyAlignment="1">
      <alignment horizontal="left" vertical="center" wrapText="1"/>
    </xf>
    <xf numFmtId="0" fontId="19" fillId="13" borderId="0" xfId="0" applyFont="1" applyFill="1" applyAlignment="1">
      <alignment horizontal="left" vertical="center" wrapText="1"/>
    </xf>
    <xf numFmtId="0" fontId="20" fillId="13" borderId="0" xfId="0" applyFont="1" applyFill="1" applyAlignment="1">
      <alignment horizontal="left" vertical="center" wrapText="1"/>
    </xf>
    <xf numFmtId="0" fontId="18" fillId="14" borderId="0" xfId="0" applyFont="1" applyFill="1" applyAlignment="1">
      <alignment horizontal="left" vertical="center" wrapText="1"/>
    </xf>
    <xf numFmtId="0" fontId="19" fillId="14" borderId="0" xfId="0" applyFont="1" applyFill="1" applyAlignment="1">
      <alignment horizontal="left" vertical="center" wrapText="1"/>
    </xf>
    <xf numFmtId="0" fontId="20" fillId="14" borderId="0" xfId="0" applyFont="1" applyFill="1" applyAlignment="1">
      <alignment horizontal="left" vertical="center" wrapText="1"/>
    </xf>
    <xf numFmtId="0" fontId="21" fillId="15" borderId="0" xfId="0" applyFont="1" applyFill="1" applyAlignment="1">
      <alignment horizontal="left" vertical="center" wrapText="1"/>
    </xf>
    <xf numFmtId="0" fontId="14" fillId="15" borderId="0" xfId="0" applyFont="1" applyFill="1"/>
    <xf numFmtId="0" fontId="22" fillId="16" borderId="0" xfId="0" applyFont="1" applyFill="1" applyAlignment="1">
      <alignment horizontal="center" vertical="center" wrapText="1"/>
    </xf>
    <xf numFmtId="0" fontId="22" fillId="16" borderId="0" xfId="0" applyFont="1" applyFill="1" applyAlignment="1">
      <alignment horizontal="left" vertical="center" wrapText="1"/>
    </xf>
    <xf numFmtId="0" fontId="23" fillId="13" borderId="0" xfId="0" applyFont="1" applyFill="1" applyAlignment="1">
      <alignment horizontal="center" vertical="center" wrapText="1"/>
    </xf>
    <xf numFmtId="0" fontId="23" fillId="14" borderId="0" xfId="0" applyFont="1" applyFill="1" applyAlignment="1">
      <alignment horizontal="center" vertical="center" wrapText="1"/>
    </xf>
    <xf numFmtId="0" fontId="24" fillId="13" borderId="0" xfId="0" applyFont="1" applyFill="1" applyAlignment="1">
      <alignment horizontal="center" vertical="center" wrapText="1"/>
    </xf>
    <xf numFmtId="0" fontId="25" fillId="17" borderId="0" xfId="0" applyFont="1" applyFill="1" applyAlignment="1">
      <alignment horizontal="left" vertical="center" wrapText="1"/>
    </xf>
    <xf numFmtId="0" fontId="14" fillId="17" borderId="0" xfId="0" applyFont="1" applyFill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8">
    <dxf>
      <fill>
        <patternFill patternType="solid">
          <bgColor rgb="FFFEE2E2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217346"/>
      <rgbColor rgb="00CCCCCC"/>
      <rgbColor rgb="00888888"/>
      <rgbColor rgb="009999FF"/>
      <rgbColor rgb="00993366"/>
      <rgbColor rgb="00FFFDE7"/>
      <rgbColor rgb="00E8F5E9"/>
      <rgbColor rgb="00660066"/>
      <rgbColor rgb="00FF8080"/>
      <rgbColor rgb="002E6DA4"/>
      <rgbColor rgb="00EDE7F6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D9E8F5"/>
      <rgbColor rgb="00FAFAFA"/>
      <rgbColor rgb="00FCE4EC"/>
      <rgbColor rgb="0099CCFF"/>
      <rgbColor rgb="00FF99CC"/>
      <rgbColor rgb="00CC99FF"/>
      <rgbColor rgb="00FEE2E2"/>
      <rgbColor rgb="003366FF"/>
      <rgbColor rgb="0033CCCC"/>
      <rgbColor rgb="0099CC00"/>
      <rgbColor rgb="00FFCC00"/>
      <rgbColor rgb="00FF9900"/>
      <rgbColor rgb="00E36209"/>
      <rgbColor rgb="00666699"/>
      <rgbColor rgb="00969696"/>
      <rgbColor rgb="001E3A5F"/>
      <rgbColor rgb="00339966"/>
      <rgbColor rgb="00003300"/>
      <rgbColor rgb="00222222"/>
      <rgbColor rgb="00993300"/>
      <rgbColor rgb="00993366"/>
      <rgbColor rgb="00333399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1E3A5F"/>
  </sheetPr>
  <dimension ref="A1:F37"/>
  <sheetViews>
    <sheetView showGridLines="0" topLeftCell="A5" workbookViewId="0">
      <pane ySplit="2" topLeftCell="A14" activePane="bottomLeft" state="frozen"/>
      <selection/>
      <selection pane="bottomLeft" activeCell="A18" sqref="A18"/>
    </sheetView>
  </sheetViews>
  <sheetFormatPr defaultColWidth="8.67619047619048" defaultRowHeight="15" outlineLevelCol="5"/>
  <cols>
    <col min="1" max="1" width="6" customWidth="1"/>
    <col min="2" max="2" width="24" customWidth="1"/>
    <col min="3" max="4" width="40" customWidth="1"/>
    <col min="5" max="5" width="14" customWidth="1"/>
  </cols>
  <sheetData>
    <row r="1" ht="36" customHeight="1" spans="1:6">
      <c r="A1" s="23" t="s">
        <v>0</v>
      </c>
      <c r="B1" s="24"/>
      <c r="C1" s="24"/>
      <c r="D1" s="24"/>
    </row>
    <row r="2" ht="22" customHeight="1" spans="1:6">
      <c r="A2" s="25" t="s">
        <v>1</v>
      </c>
      <c r="B2" s="26"/>
      <c r="C2" s="26"/>
      <c r="D2" s="26"/>
      <c r="E2" s="26"/>
      <c r="F2" s="27"/>
    </row>
    <row r="3" ht="7.5" customHeight="1" spans="1:6">
      <c r="A3" s="27"/>
      <c r="B3" s="27"/>
      <c r="C3" s="27"/>
      <c r="D3" s="27"/>
      <c r="E3" s="27"/>
      <c r="F3" s="27"/>
    </row>
    <row r="4" ht="22" customHeight="1" spans="1:6">
      <c r="A4" s="28" t="s">
        <v>2</v>
      </c>
      <c r="B4" s="29" t="s">
        <v>3</v>
      </c>
      <c r="C4" s="29" t="s">
        <v>4</v>
      </c>
      <c r="D4" s="29" t="s">
        <v>5</v>
      </c>
    </row>
    <row r="5" ht="40" customHeight="1" spans="1:6">
      <c r="A5" s="30" t="s">
        <v>6</v>
      </c>
      <c r="B5" s="31" t="s">
        <v>7</v>
      </c>
      <c r="C5" s="32" t="s">
        <v>8</v>
      </c>
      <c r="D5" s="32" t="s">
        <v>9</v>
      </c>
      <c r="E5" s="33" t="s">
        <v>10</v>
      </c>
      <c r="F5" s="27"/>
    </row>
    <row r="6" ht="40" customHeight="1" spans="1:6">
      <c r="A6" s="30" t="s">
        <v>11</v>
      </c>
      <c r="B6" s="34" t="s">
        <v>12</v>
      </c>
      <c r="C6" s="35" t="s">
        <v>13</v>
      </c>
      <c r="D6" s="35" t="s">
        <v>14</v>
      </c>
    </row>
    <row r="7" ht="40" customHeight="1" spans="1:6">
      <c r="A7" s="30" t="s">
        <v>15</v>
      </c>
      <c r="B7" s="31" t="s">
        <v>16</v>
      </c>
      <c r="C7" s="32" t="s">
        <v>17</v>
      </c>
      <c r="D7" s="32" t="s">
        <v>18</v>
      </c>
      <c r="E7" s="33" t="s">
        <v>19</v>
      </c>
      <c r="F7" s="27"/>
    </row>
    <row r="8" ht="40" customHeight="1" spans="1:6">
      <c r="A8" s="30" t="s">
        <v>20</v>
      </c>
      <c r="B8" s="34" t="s">
        <v>21</v>
      </c>
      <c r="C8" s="35" t="s">
        <v>22</v>
      </c>
      <c r="D8" s="35" t="s">
        <v>23</v>
      </c>
      <c r="E8" s="36" t="s">
        <v>24</v>
      </c>
      <c r="F8" s="27"/>
    </row>
    <row r="9" ht="40" customHeight="1" spans="1:6">
      <c r="A9" s="30" t="s">
        <v>25</v>
      </c>
      <c r="B9" s="31" t="s">
        <v>26</v>
      </c>
      <c r="C9" s="32" t="s">
        <v>27</v>
      </c>
      <c r="D9" s="32" t="s">
        <v>28</v>
      </c>
    </row>
    <row r="10" ht="40" customHeight="1" spans="1:6">
      <c r="A10" s="30" t="s">
        <v>29</v>
      </c>
      <c r="B10" s="34" t="s">
        <v>30</v>
      </c>
      <c r="C10" s="35" t="s">
        <v>31</v>
      </c>
      <c r="D10" s="35" t="s">
        <v>32</v>
      </c>
    </row>
    <row r="11" ht="10" customHeight="1" spans="1:6">
      <c r="A11" s="27"/>
      <c r="B11" s="27"/>
      <c r="C11" s="27"/>
      <c r="D11" s="27"/>
    </row>
    <row r="12" ht="22" customHeight="1" spans="1:6">
      <c r="A12" s="37" t="s">
        <v>33</v>
      </c>
      <c r="B12" s="38"/>
      <c r="C12" s="38"/>
      <c r="D12" s="38"/>
      <c r="E12" s="38"/>
      <c r="F12" s="27"/>
    </row>
    <row r="13" ht="18" customHeight="1" spans="1:6">
      <c r="A13" s="39" t="s">
        <v>34</v>
      </c>
      <c r="B13" s="40" t="s">
        <v>35</v>
      </c>
      <c r="C13" s="40" t="s">
        <v>36</v>
      </c>
      <c r="D13" s="40" t="s">
        <v>37</v>
      </c>
    </row>
    <row r="14" ht="20" customHeight="1" spans="1:6">
      <c r="A14" s="41" t="s">
        <v>38</v>
      </c>
      <c r="B14" s="32" t="s">
        <v>39</v>
      </c>
      <c r="C14" s="32" t="s">
        <v>40</v>
      </c>
      <c r="D14" s="32" t="s">
        <v>40</v>
      </c>
    </row>
    <row r="15" ht="20" customHeight="1" spans="1:6">
      <c r="A15" s="42" t="s">
        <v>38</v>
      </c>
      <c r="B15" s="35" t="s">
        <v>41</v>
      </c>
      <c r="C15" s="35" t="s">
        <v>42</v>
      </c>
      <c r="D15" s="35" t="s">
        <v>42</v>
      </c>
    </row>
    <row r="16" ht="20" customHeight="1" spans="1:6">
      <c r="A16" s="41" t="s">
        <v>38</v>
      </c>
      <c r="B16" s="32" t="s">
        <v>43</v>
      </c>
      <c r="C16" s="32" t="s">
        <v>44</v>
      </c>
      <c r="D16" s="32" t="s">
        <v>44</v>
      </c>
      <c r="E16" s="33" t="s">
        <v>45</v>
      </c>
      <c r="F16" s="27"/>
    </row>
    <row r="17" ht="20" customHeight="1" spans="1:6">
      <c r="A17" s="42" t="s">
        <v>38</v>
      </c>
      <c r="B17" s="35" t="s">
        <v>46</v>
      </c>
      <c r="C17" s="35" t="s">
        <v>47</v>
      </c>
      <c r="D17" s="35" t="s">
        <v>47</v>
      </c>
    </row>
    <row r="18" ht="20" customHeight="1" spans="1:6">
      <c r="A18" s="43" t="s">
        <v>48</v>
      </c>
      <c r="B18" s="32" t="s">
        <v>49</v>
      </c>
      <c r="C18" s="32" t="s">
        <v>50</v>
      </c>
      <c r="D18" s="32" t="s">
        <v>51</v>
      </c>
      <c r="E18" s="33" t="s">
        <v>52</v>
      </c>
      <c r="F18" s="27"/>
    </row>
    <row r="19" ht="20" customHeight="1" spans="1:6">
      <c r="A19" s="42" t="s">
        <v>48</v>
      </c>
      <c r="B19" s="35" t="s">
        <v>53</v>
      </c>
      <c r="C19" s="35" t="s">
        <v>54</v>
      </c>
      <c r="D19" s="35" t="s">
        <v>55</v>
      </c>
      <c r="E19" s="36" t="s">
        <v>52</v>
      </c>
      <c r="F19" s="27"/>
    </row>
    <row r="20" ht="20" customHeight="1" spans="1:6">
      <c r="A20" s="41" t="s">
        <v>48</v>
      </c>
      <c r="B20" s="32" t="s">
        <v>56</v>
      </c>
      <c r="C20" s="32" t="s">
        <v>57</v>
      </c>
      <c r="D20" s="32" t="s">
        <v>58</v>
      </c>
      <c r="E20" s="33" t="s">
        <v>52</v>
      </c>
      <c r="F20" s="27"/>
    </row>
    <row r="21" ht="20" customHeight="1" spans="1:6">
      <c r="A21" s="42" t="s">
        <v>48</v>
      </c>
      <c r="B21" s="35" t="s">
        <v>59</v>
      </c>
      <c r="C21" s="35" t="s">
        <v>60</v>
      </c>
      <c r="D21" s="35" t="s">
        <v>61</v>
      </c>
      <c r="E21" s="36" t="s">
        <v>52</v>
      </c>
      <c r="F21" s="27"/>
    </row>
    <row r="22" ht="20" customHeight="1" spans="1:6">
      <c r="A22" s="41" t="s">
        <v>48</v>
      </c>
      <c r="B22" s="32" t="s">
        <v>62</v>
      </c>
      <c r="C22" s="32" t="s">
        <v>63</v>
      </c>
      <c r="D22" s="32" t="s">
        <v>64</v>
      </c>
      <c r="E22" s="33" t="s">
        <v>52</v>
      </c>
      <c r="F22" s="27"/>
    </row>
    <row r="23" ht="20" customHeight="1" spans="1:6">
      <c r="A23" s="42" t="s">
        <v>48</v>
      </c>
      <c r="B23" s="35" t="s">
        <v>65</v>
      </c>
      <c r="C23" s="35" t="s">
        <v>66</v>
      </c>
      <c r="D23" s="35" t="s">
        <v>67</v>
      </c>
      <c r="E23" s="36" t="s">
        <v>52</v>
      </c>
      <c r="F23" s="27"/>
    </row>
    <row r="24" ht="20" customHeight="1" spans="1:6">
      <c r="A24" s="41" t="s">
        <v>48</v>
      </c>
      <c r="B24" s="32" t="s">
        <v>68</v>
      </c>
      <c r="C24" s="32" t="s">
        <v>69</v>
      </c>
      <c r="D24" s="32" t="s">
        <v>70</v>
      </c>
      <c r="E24" s="33" t="s">
        <v>52</v>
      </c>
      <c r="F24" s="27"/>
    </row>
    <row r="25" ht="20" customHeight="1" spans="1:6">
      <c r="A25" s="42" t="s">
        <v>71</v>
      </c>
      <c r="B25" s="35" t="s">
        <v>72</v>
      </c>
      <c r="C25" s="35" t="s">
        <v>73</v>
      </c>
      <c r="D25" s="35" t="s">
        <v>74</v>
      </c>
      <c r="E25" s="36" t="s">
        <v>75</v>
      </c>
      <c r="F25" s="27"/>
    </row>
    <row r="26" ht="20" customHeight="1" spans="1:6">
      <c r="A26" s="41" t="s">
        <v>71</v>
      </c>
      <c r="B26" s="32" t="s">
        <v>76</v>
      </c>
      <c r="C26" s="32" t="s">
        <v>77</v>
      </c>
      <c r="D26" s="32" t="s">
        <v>78</v>
      </c>
      <c r="E26" s="33" t="s">
        <v>75</v>
      </c>
      <c r="F26" s="27"/>
    </row>
    <row r="27" ht="20" customHeight="1" spans="1:6">
      <c r="A27" s="42" t="s">
        <v>79</v>
      </c>
      <c r="B27" s="35" t="s">
        <v>80</v>
      </c>
      <c r="C27" s="35" t="s">
        <v>81</v>
      </c>
      <c r="D27" s="35" t="s">
        <v>82</v>
      </c>
      <c r="E27" s="36" t="s">
        <v>83</v>
      </c>
      <c r="F27" s="27"/>
    </row>
    <row r="28" ht="20" customHeight="1" spans="1:6">
      <c r="A28" s="41" t="s">
        <v>84</v>
      </c>
      <c r="B28" s="32" t="s">
        <v>85</v>
      </c>
      <c r="C28" s="32" t="s">
        <v>86</v>
      </c>
      <c r="D28" s="32" t="s">
        <v>87</v>
      </c>
      <c r="E28" s="33" t="s">
        <v>88</v>
      </c>
      <c r="F28" s="27"/>
    </row>
    <row r="29" ht="20" customHeight="1" spans="1:6">
      <c r="A29" s="42" t="s">
        <v>84</v>
      </c>
      <c r="B29" s="35" t="s">
        <v>89</v>
      </c>
      <c r="C29" s="35" t="s">
        <v>90</v>
      </c>
      <c r="D29" s="35" t="s">
        <v>91</v>
      </c>
      <c r="E29" s="36" t="s">
        <v>88</v>
      </c>
      <c r="F29" s="27"/>
    </row>
    <row r="30" ht="20" customHeight="1" spans="1:6">
      <c r="A30" s="41" t="s">
        <v>84</v>
      </c>
      <c r="B30" s="32" t="s">
        <v>92</v>
      </c>
      <c r="C30" s="32" t="s">
        <v>93</v>
      </c>
      <c r="D30" s="32" t="s">
        <v>94</v>
      </c>
      <c r="E30" s="33" t="s">
        <v>88</v>
      </c>
      <c r="F30" s="27"/>
    </row>
    <row r="31" ht="20" customHeight="1" spans="1:6">
      <c r="A31" s="42" t="s">
        <v>95</v>
      </c>
      <c r="B31" s="35" t="s">
        <v>96</v>
      </c>
      <c r="C31" s="35" t="s">
        <v>97</v>
      </c>
      <c r="D31" s="35" t="s">
        <v>98</v>
      </c>
      <c r="E31" s="36" t="s">
        <v>99</v>
      </c>
      <c r="F31" s="27"/>
    </row>
    <row r="32" ht="20" customHeight="1" spans="1:6">
      <c r="A32" s="41" t="s">
        <v>100</v>
      </c>
      <c r="B32" s="32" t="s">
        <v>101</v>
      </c>
      <c r="C32" s="32" t="s">
        <v>102</v>
      </c>
      <c r="D32" s="32" t="s">
        <v>103</v>
      </c>
      <c r="E32" s="33" t="s">
        <v>99</v>
      </c>
      <c r="F32" s="27"/>
    </row>
    <row r="33" ht="20" customHeight="1" spans="1:6">
      <c r="A33" s="42" t="s">
        <v>104</v>
      </c>
      <c r="B33" s="35" t="s">
        <v>105</v>
      </c>
      <c r="C33" s="35" t="s">
        <v>106</v>
      </c>
      <c r="D33" s="35" t="s">
        <v>107</v>
      </c>
      <c r="E33" s="36" t="s">
        <v>99</v>
      </c>
      <c r="F33" s="27"/>
    </row>
    <row r="34" spans="1:6">
      <c r="A34" s="27"/>
      <c r="B34" s="27"/>
      <c r="C34" s="27"/>
      <c r="D34" s="27"/>
      <c r="E34" s="27"/>
      <c r="F34" s="27"/>
    </row>
    <row r="35" ht="30" customHeight="1" spans="1:6">
      <c r="A35" s="44" t="s">
        <v>108</v>
      </c>
      <c r="B35" s="45"/>
      <c r="C35" s="45"/>
      <c r="D35" s="45"/>
      <c r="E35" s="45"/>
      <c r="F35" s="27"/>
    </row>
    <row r="36" spans="1:6">
      <c r="A36" s="27"/>
      <c r="B36" s="27"/>
      <c r="C36" s="27"/>
      <c r="D36" s="27"/>
      <c r="E36" s="27"/>
      <c r="F36" s="27"/>
    </row>
    <row r="37" spans="1:6">
      <c r="A37" s="27"/>
      <c r="B37" s="27"/>
      <c r="C37" s="27"/>
      <c r="D37" s="27"/>
      <c r="E37" s="27"/>
      <c r="F37" s="27"/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2E6DA4"/>
  </sheetPr>
  <dimension ref="A1:AB54"/>
  <sheetViews>
    <sheetView showGridLines="0" tabSelected="1" workbookViewId="0">
      <pane ySplit="4" topLeftCell="A5" activePane="bottomLeft" state="frozen"/>
      <selection/>
      <selection pane="bottomLeft" activeCell="C7" sqref="C7"/>
    </sheetView>
  </sheetViews>
  <sheetFormatPr defaultColWidth="8.67619047619048" defaultRowHeight="15"/>
  <cols>
    <col min="1" max="1" width="10" customWidth="1"/>
    <col min="2" max="3" width="18" customWidth="1"/>
    <col min="4" max="4" width="26" customWidth="1"/>
    <col min="5" max="7" width="10" customWidth="1"/>
    <col min="8" max="8" width="22" customWidth="1"/>
    <col min="9" max="11" width="14" customWidth="1"/>
    <col min="12" max="14" width="12" customWidth="1"/>
    <col min="15" max="17" width="24" customWidth="1"/>
    <col min="18" max="21" width="30" customWidth="1"/>
    <col min="22" max="24" width="20" customWidth="1"/>
    <col min="25" max="26" width="30" customWidth="1"/>
    <col min="27" max="27" width="5" customWidth="1"/>
    <col min="28" max="28" width="30" customWidth="1"/>
  </cols>
  <sheetData>
    <row r="1" ht="31.5" customHeight="1" spans="1:28">
      <c r="A1" s="1" t="s">
        <v>109</v>
      </c>
      <c r="R1" s="1"/>
      <c r="S1" s="1"/>
      <c r="T1" s="1"/>
      <c r="U1" s="1"/>
      <c r="V1" s="1"/>
      <c r="W1" s="1"/>
      <c r="X1" s="1"/>
    </row>
    <row r="2" ht="21.75" customHeight="1" spans="1:28">
      <c r="A2" s="2" t="s">
        <v>110</v>
      </c>
    </row>
    <row r="3" ht="36" customHeight="1" spans="1:28">
      <c r="A3" s="3" t="s">
        <v>111</v>
      </c>
      <c r="B3" s="3" t="s">
        <v>112</v>
      </c>
      <c r="C3" s="3" t="s">
        <v>113</v>
      </c>
      <c r="D3" s="3" t="s">
        <v>114</v>
      </c>
      <c r="E3" s="3" t="s">
        <v>115</v>
      </c>
      <c r="F3" s="3" t="s">
        <v>116</v>
      </c>
      <c r="G3" s="3" t="s">
        <v>117</v>
      </c>
      <c r="H3" s="3" t="s">
        <v>118</v>
      </c>
      <c r="I3" s="5" t="s">
        <v>119</v>
      </c>
      <c r="J3" s="6" t="s">
        <v>120</v>
      </c>
      <c r="K3" s="5" t="s">
        <v>121</v>
      </c>
      <c r="L3" s="3" t="s">
        <v>122</v>
      </c>
      <c r="M3" s="7" t="s">
        <v>123</v>
      </c>
      <c r="N3" s="8" t="s">
        <v>124</v>
      </c>
      <c r="O3" s="9" t="s">
        <v>125</v>
      </c>
      <c r="P3" s="8" t="s">
        <v>126</v>
      </c>
      <c r="Q3" s="8" t="s">
        <v>127</v>
      </c>
      <c r="R3" s="9" t="s">
        <v>128</v>
      </c>
      <c r="S3" s="8" t="s">
        <v>129</v>
      </c>
      <c r="T3" s="8" t="s">
        <v>130</v>
      </c>
      <c r="U3" s="21" t="s">
        <v>131</v>
      </c>
      <c r="V3" s="9" t="s">
        <v>132</v>
      </c>
      <c r="W3" s="8" t="s">
        <v>133</v>
      </c>
      <c r="X3" s="8" t="s">
        <v>134</v>
      </c>
      <c r="Y3" s="10" t="s">
        <v>135</v>
      </c>
      <c r="Z3" s="10" t="s">
        <v>136</v>
      </c>
      <c r="AA3" s="8" t="s">
        <v>137</v>
      </c>
      <c r="AB3" s="10" t="s">
        <v>138</v>
      </c>
    </row>
    <row r="4" ht="18" customHeight="1" spans="1:28">
      <c r="A4" s="11" t="s">
        <v>139</v>
      </c>
      <c r="B4" s="12" t="s">
        <v>140</v>
      </c>
      <c r="C4" s="12" t="s">
        <v>141</v>
      </c>
      <c r="D4" s="13" t="s">
        <v>142</v>
      </c>
      <c r="E4" s="12" t="s">
        <v>15</v>
      </c>
      <c r="F4" s="12" t="s">
        <v>11</v>
      </c>
      <c r="G4" s="12" t="s">
        <v>143</v>
      </c>
      <c r="H4" s="13" t="s">
        <v>144</v>
      </c>
      <c r="I4" s="12" t="s">
        <v>72</v>
      </c>
      <c r="J4" s="12" t="s">
        <v>80</v>
      </c>
      <c r="K4" s="13" t="s">
        <v>89</v>
      </c>
      <c r="L4" s="12" t="s">
        <v>96</v>
      </c>
      <c r="M4" s="13" t="s">
        <v>145</v>
      </c>
    </row>
    <row r="5" ht="51.75" customHeight="1" spans="1:28">
      <c r="A5" s="15" t="s">
        <v>146</v>
      </c>
      <c r="B5" s="15" t="s">
        <v>140</v>
      </c>
      <c r="C5" s="15" t="s">
        <v>147</v>
      </c>
      <c r="D5" s="22" t="s">
        <v>148</v>
      </c>
      <c r="E5" s="15">
        <v>2</v>
      </c>
      <c r="F5" s="15">
        <v>2</v>
      </c>
      <c r="G5" s="15">
        <v>110</v>
      </c>
      <c r="H5" s="15" t="s">
        <v>144</v>
      </c>
      <c r="I5" s="16" t="s">
        <v>72</v>
      </c>
      <c r="J5" s="16" t="s">
        <v>80</v>
      </c>
      <c r="K5" s="16" t="s">
        <v>92</v>
      </c>
      <c r="L5" s="15">
        <v>1800</v>
      </c>
      <c r="M5" s="17" t="s">
        <v>149</v>
      </c>
      <c r="N5" s="18" t="str">
        <f t="shared" ref="N5:N54" si="0">IFERROR(_xlfn.IFS(B5="🏢 Condo 公寓","fa-building",B5="🏠 Apartment 单位","fa-home",B5="🌿 即租即住","fa-home",B5="🌿 近国际学校","fa-school",B5="📌 商业旺铺","fa-store",B5="🌟 海景豪宅","fa-water-ladder",B5="📈 投资优选","fa-chart-line",B5="🏞️ 花园住宅","fa-tree",B5="🌟 2026全新地标","fa-drafting-compass",B5="📈 海外投资优选","fa-globe",B5="🌆 核心地段","fa-city",B5="🔥 限时优惠","fa-fire",B5="✅ 永久产权","fa-certificate",B5="🏅 高回报","fa-medal",B5="🏖️ 度假胜地","fa-umbrella-beach",B5="🏫 学区优选","fa-graduation-cap",B5="🛣️ 交通便利","fa-road",B5="🔑 即买即住","fa-key"),"fa-home")</f>
        <v>fa-building</v>
      </c>
      <c r="O5" s="18" t="str">
        <f t="shared" ref="O5:O54" si="1">IF(D5&lt;&gt;"",D5,"")</f>
        <v>Tiara ParkHome| Karjang</v>
      </c>
      <c r="P5" s="18" t="str">
        <f t="shared" ref="P5:P54" si="2">IF(D5&lt;&gt;"",SUBSTITUTE(SUBSTITUTE(SUBSTITUTE(SUBSTITUTE(SUBSTITUTE(SUBSTITUTE(SUBSTITUTE(SUBSTITUTE(SUBSTITUTE(SUBSTITUTE(D5,"亚庇","Kota Kinabalu"),"公寓","Condo"),"排屋","Terrace"),"别墅","Villa"),"店铺","Shop"),"新山","Johor Bahru"),"市中心","City Centre"),"高级","Premium"),"单位","Unit"),"住宅","Residence"),"")</f>
        <v>Tiara ParkHome| Karjang</v>
      </c>
      <c r="Q5" s="18" t="str">
        <f t="shared" ref="Q5:Q54" si="3">IF(D5&lt;&gt;"",SUBSTITUTE(SUBSTITUTE(SUBSTITUTE(SUBSTITUTE(SUBSTITUTE(SUBSTITUTE(SUBSTITUTE(SUBSTITUTE(SUBSTITUTE(SUBSTITUTE(D5,"亚庇","Kota Kinabalu"),"公寓","Kondominium"),"排屋","Rumah Teres"),"别墅","Vila"),"店铺","Kedai"),"新山","Johor Bahru"),"市中心","Pusat Bandar"),"高级","Premium"),"单位","Unit"),"住宅","Kediaman"),"")</f>
        <v>Tiara ParkHome| Karjang</v>
      </c>
      <c r="R5" s="18" t="str">
        <f t="shared" ref="R5:R54" si="4">IF(D5&lt;&gt;"","📍 "&amp;IF(E5&lt;&gt;"",E5&amp;"房","")&amp;IF(F5&lt;&gt;"",F5&amp;"卫 ","")&amp;IF(G5&lt;&gt;"",G5&amp;" sqft","")&amp;IF(AND(OR(E5&lt;&gt;"",G5&lt;&gt;""),H5&lt;&gt;"")," · ","")&amp;IF(H5&lt;&gt;"",H5,""),"")</f>
        <v>📍 2房2卫 110 sqft · 游泳池·健身室·BBQ区</v>
      </c>
      <c r="S5" s="18" t="str">
        <f t="shared" ref="S5:S54" si="5">IF(D5&lt;&gt;"","📍 "&amp;IF(E5&lt;&gt;"",E5&amp;"BR ","")&amp;IF(F5&lt;&gt;"",F5&amp;"BA ","")&amp;IF(G5&lt;&gt;"",G5&amp;" sqft","")&amp;IF(AND(OR(E5&lt;&gt;"",G5&lt;&gt;""),H5&lt;&gt;"")," · ","")&amp;IF(H5&lt;&gt;"",SUBSTITUTE(SUBSTITUTE(SUBSTITUTE(SUBSTITUTE(SUBSTITUTE(SUBSTITUTE(SUBSTITUTE(SUBSTITUTE(SUBSTITUTE(SUBSTITUTE(H5,"游泳池","Swimming Pool"),"健身室","Gym"),"儿童乐园","Kids Play Area"),"BBQ区","BBQ Area"),"会所","Clubhouse"),"网球场","Tennis Court"),"篮球场","Basketball Court"),"停车场","Parking"),"便利店","Mini Mart"),"咖啡厅","Cafe"),""),"")</f>
        <v>📍 2BR 2BA 110 sqft · Swimming Pool·Gym·BBQ Area</v>
      </c>
      <c r="T5" s="18" t="str">
        <f t="shared" ref="T5:T54" si="6">IF(D5&lt;&gt;"","📍 "&amp;IF(E5&lt;&gt;"",E5&amp;"Bilik ","")&amp;IF(F5&lt;&gt;"",F5&amp;"Bilik Air ","")&amp;IF(G5&lt;&gt;"",G5&amp;" sqft","")&amp;IF(AND(OR(E5&lt;&gt;"",G5&lt;&gt;""),H5&lt;&gt;"")," · ","")&amp;IF(H5&lt;&gt;"",SUBSTITUTE(SUBSTITUTE(SUBSTITUTE(SUBSTITUTE(SUBSTITUTE(SUBSTITUTE(SUBSTITUTE(SUBSTITUTE(SUBSTITUTE(SUBSTITUTE(H5,"游泳池","Kolam Renang"),"健身室","Gim"),"儿童乐园","Kawasan Permainan"),"BBQ区","Kawasan BBQ"),"会所","Kelab"),"网球场","Gelanggang Tenis"),"篮球场","Gelanggang Bola"),"停车场","Tempat Letak"),"便利店","Kedai Mini"),"咖啡厅","Kafe"),""),"")</f>
        <v>📍 2Bilik 2Bilik Air 110 sqft · Kolam Renang·Gim·Kawasan BBQ</v>
      </c>
      <c r="U5" s="19" t="str">
        <f t="shared" ref="U5:U54" si="7">IF(OR(I5&lt;&gt;"",J5&lt;&gt;"",K5&lt;&gt;""),"🔒 "&amp;IF(I5&lt;&gt;"",I5,"")&amp;IF(AND(I5&lt;&gt;"",J5&lt;&gt;"")," · ","")&amp;IF(J5&lt;&gt;"",J5,"")&amp;IF(AND(OR(I5&lt;&gt;"",J5&lt;&gt;""),K5&lt;&gt;"")," · ","")&amp;IF(K5&lt;&gt;"",K5,""),"")</f>
        <v>🔒 24小时保安 · CCTV监控 · 等级6门禁</v>
      </c>
      <c r="V5" s="18" t="str">
        <f t="shared" ref="V5:V54" si="8">IF(L5&lt;&gt;"","💰 月租 RM "&amp;TEXT(L5,"#,##0"),"")</f>
        <v>💰 月租 RM 1,800</v>
      </c>
      <c r="W5" s="18" t="str">
        <f t="shared" ref="W5:W54" si="9">IF(L5&lt;&gt;"","💰 Monthly Rent RM "&amp;TEXT(L5,"#,##0"),"")</f>
        <v>💰 Monthly Rent RM 1,800</v>
      </c>
      <c r="X5" s="18" t="str">
        <f t="shared" ref="X5:X54" si="10">IF(L5&lt;&gt;"","💰 Sewa Bulanan RM "&amp;TEXT(L5,"#,##0"),"")</f>
        <v>💰 Sewa Bulanan RM 1,800</v>
      </c>
      <c r="Y5" s="20" t="str">
        <f t="shared" ref="Y5:Y54" si="11">IF(D5&lt;&gt;"","您好！我想咨询出租：
🏠 "&amp;D5&amp;"
"&amp;IF(E5&lt;&gt;"","🛏 "&amp;E5&amp;"房"&amp;IF(F5&lt;&gt;""," "&amp;F5&amp;"卫","")&amp;"
","")&amp;IF(G5&lt;&gt;"","📐 "&amp;G5&amp;" sqft
","")&amp;IF(H5&lt;&gt;"","🏊 "&amp;H5&amp;"
","")&amp;IF(U5&lt;&gt;"",U5&amp;"
","")&amp;IF(L5&lt;&gt;"","💰 月租 RM "&amp;TEXT(L5,"#,##0")&amp;"
","")&amp;"
请问还有空档吗？谢谢！","")</f>
        <v>您好！我想咨询出租：
🏠 Tiara ParkHome| Karjang
🛏 2房 2卫
📐 110 sqft
🏊 游泳池·健身室·BBQ区
🔒 24小时保安 · CCTV监控 · 等级6门禁
💰 月租 RM 1,800
请问还有空档吗？谢谢！</v>
      </c>
      <c r="Z5" s="20" t="str">
        <f t="shared" ref="Z5:Z54" si="12">IF(D5&lt;&gt;"","Hi! I'd like to make a rental enquiry:
🏠 "&amp;P5&amp;"
"&amp;IF(E5&lt;&gt;"","🛏 "&amp;E5&amp;"BR"&amp;IF(F5&lt;&gt;""," "&amp;F5&amp;"BA","")&amp;"
","")&amp;IF(G5&lt;&gt;"","📐 "&amp;G5&amp;" sqft
","")&amp;IF(H5&lt;&gt;"","🏊 "&amp;SUBSTITUTE(SUBSTITUTE(SUBSTITUTE(SUBSTITUTE(SUBSTITUTE(SUBSTITUTE(SUBSTITUTE(SUBSTITUTE(SUBSTITUTE(SUBSTITUTE(H5,"游泳池","Swimming Pool"),"健身室","Gym"),"儿童乐园","Kids Play Area"),"BBQ区","BBQ Area"),"会所","Clubhouse"),"网球场","Tennis Court"),"篮球场","Basketball Court"),"停车场","Parking"),"便利店","Mini Mart"),"咖啡厅","Cafe")&amp;"
","")&amp;IF(IF(OR(I5&lt;&gt;"",J5&lt;&gt;"",K5&lt;&gt;""),"🔒 "&amp;IF(I5&lt;&gt;"",SUBSTITUTE(SUBSTITUTE(SUBSTITUTE(SUBSTITUTE(SUBSTITUTE(SUBSTITUTE(SUBSTITUTE(SUBSTITUTE(SUBSTITUTE(SUBSTITUTE(SUBSTITUTE(SUBSTITUTE(I5,"24小时保安","24hr Guard"),"保安亭","Guardhouse"),"无保安","No Guard"),"CCTV监控","CCTV"),"无CCTV监控","No CCTV"),"等级1门禁","Lvl 1 Access"),"等级2门禁","Lvl 2 Access"),"等级3门禁","Lvl 3 Access"),"等级4门禁","Lvl 4 Access"),"等级5门禁","Lvl 5 Access"),"等级6门禁","Lvl 6 Access"),"无门禁","No Access Control"),"")&amp;IF(AND(I5&lt;&gt;"",OR(J5&lt;&gt;"",K5&lt;&gt;""))," · ","")&amp;IF(J5&lt;&gt;"",SUBSTITUTE(SUBSTITUTE(SUBSTITUTE(SUBSTITUTE(SUBSTITUTE(SUBSTITUTE(SUBSTITUTE(SUBSTITUTE(SUBSTITUTE(SUBSTITUTE(SUBSTITUTE(SUBSTITUTE(J5,"24小时保安","24hr Guard"),"保安亭","Guardhouse"),"无保安","No Guard"),"CCTV监控","CCTV"),"无CCTV监控","No CCTV"),"等级1门禁","Lvl 1 Access"),"等级2门禁","Lvl 2 Access"),"等级3门禁","Lvl 3 Access"),"等级4门禁","Lvl 4 Access"),"等级5门禁","Lvl 5 Access"),"等级6门禁","Lvl 6 Access"),"无门禁","No Access Control"),"")&amp;IF(AND(J5&lt;&gt;"",K5&lt;&gt;"")," · ","")&amp;IF(K5&lt;&gt;"",SUBSTITUTE(SUBSTITUTE(SUBSTITUTE(SUBSTITUTE(SUBSTITUTE(SUBSTITUTE(SUBSTITUTE(SUBSTITUTE(SUBSTITUTE(SUBSTITUTE(SUBSTITUTE(SUBSTITUTE(K5,"24小时保安","24hr Guard"),"保安亭","Guardhouse"),"无保安","No Guard"),"CCTV监控","CCTV"),"无CCTV监控","No CCTV"),"等级1门禁","Lvl 1 Access"),"等级2门禁","Lvl 2 Access"),"等级3门禁","Lvl 3 Access"),"等级4门禁","Lvl 4 Access"),"等级5门禁","Lvl 5 Access"),"等级6门禁","Lvl 6 Access"),"无门禁","No Access Control"),""),"")&lt;&gt;"",IF(OR(I5&lt;&gt;"",J5&lt;&gt;"",K5&lt;&gt;""),"🔒 "&amp;IF(I5&lt;&gt;"",SUBSTITUTE(SUBSTITUTE(SUBSTITUTE(SUBSTITUTE(SUBSTITUTE(SUBSTITUTE(SUBSTITUTE(SUBSTITUTE(SUBSTITUTE(SUBSTITUTE(SUBSTITUTE(SUBSTITUTE(I5,"24小时保安","24hr Guard"),"保安亭","Guardhouse"),"无保安","No Guard"),"CCTV监控","CCTV"),"无CCTV监控","No CCTV"),"等级1门禁","Lvl 1 Access"),"等级2门禁","Lvl 2 Access"),"等级3门禁","Lvl 3 Access"),"等级4门禁","Lvl 4 Access"),"等级5门禁","Lvl 5 Access"),"等级6门禁","Lvl 6 Access"),"无门禁","No Access Control"),"")&amp;IF(AND(I5&lt;&gt;"",OR(J5&lt;&gt;"",K5&lt;&gt;""))," · ","")&amp;IF(J5&lt;&gt;"",SUBSTITUTE(SUBSTITUTE(SUBSTITUTE(SUBSTITUTE(SUBSTITUTE(SUBSTITUTE(SUBSTITUTE(SUBSTITUTE(SUBSTITUTE(SUBSTITUTE(SUBSTITUTE(SUBSTITUTE(J5,"24小时保安","24hr Guard"),"保安亭","Guardhouse"),"无保安","No Guard"),"CCTV监控","CCTV"),"无CCTV监控","No CCTV"),"等级1门禁","Lvl 1 Access"),"等级2门禁","Lvl 2 Access"),"等级3门禁","Lvl 3 Access"),"等级4门禁","Lvl 4 Access"),"等级5门禁","Lvl 5 Access"),"等级6门禁","Lvl 6 Access"),"无门禁","No Access Control"),"")&amp;IF(AND(J5&lt;&gt;"",K5&lt;&gt;"")," · ","")&amp;IF(K5&lt;&gt;"",SUBSTITUTE(SUBSTITUTE(SUBSTITUTE(SUBSTITUTE(SUBSTITUTE(SUBSTITUTE(SUBSTITUTE(SUBSTITUTE(SUBSTITUTE(SUBSTITUTE(SUBSTITUTE(SUBSTITUTE(K5,"24小时保安","24hr Guard"),"保安亭","Guardhouse"),"无保安","No Guard"),"CCTV监控","CCTV"),"无CCTV监控","No CCTV"),"等级1门禁","Lvl 1 Access"),"等级2门禁","Lvl 2 Access"),"等级3门禁","Lvl 3 Access"),"等级4门禁","Lvl 4 Access"),"等级5门禁","Lvl 5 Access"),"等级6门禁","Lvl 6 Access"),"无门禁","No Access Control"),""),"")&amp;"
","")&amp;IF(L5&lt;&gt;"","💰 Monthly Rent RM "&amp;TEXT(L5,"#,##0")&amp;"
","")&amp;"
Is this still available? Thank you!","")</f>
        <v>Hi! I'd like to make a rental enquiry:
🏠 Tiara ParkHome| Karjang
🛏 2BR 2BA
📐 110 sqft
🏊 Swimming Pool·Gym·BBQ Area
🔒 24hr Guard · CCTV · Lvl 6 Access
💰 Monthly Rent RM 1,800
Is this still available? Thank you!</v>
      </c>
      <c r="AA5" s="18"/>
      <c r="AB5" s="20" t="str">
        <f t="shared" ref="AB5:AB54" si="13">IF(D5&lt;&gt;"","Helo! Saya ingin membuat pertanyaan sewa:
🏠 "&amp;Q5&amp;"
"&amp;IF(E5&lt;&gt;"","🛏 "&amp;E5&amp;"Bilik"&amp;IF(F5&lt;&gt;""," "&amp;F5&amp;"Bilik Air","")&amp;"
","")&amp;IF(G5&lt;&gt;"","📐 "&amp;G5&amp;" sqft
","")&amp;IF(H5&lt;&gt;"","🏊 "&amp;SUBSTITUTE(SUBSTITUTE(SUBSTITUTE(SUBSTITUTE(SUBSTITUTE(SUBSTITUTE(SUBSTITUTE(SUBSTITUTE(SUBSTITUTE(SUBSTITUTE(H5,"游泳池","Kolam Renang"),"健身室","Gim"),"儿童乐园","Kawasan Permainan"),"BBQ区","Kawasan BBQ"),"会所","Kelab"),"网球场","Gelanggang Tenis"),"篮球场","Gelanggang Bola"),"停车场","Tempat Letak"),"便利店","Kedai Mini"),"咖啡厅","Kafe")&amp;"
","")&amp;IF(IF(OR(I5&lt;&gt;"",J5&lt;&gt;"",K5&lt;&gt;""),"🔒 "&amp;IF(I5&lt;&gt;"",SUBSTITUTE(SUBSTITUTE(SUBSTITUTE(SUBSTITUTE(SUBSTITUTE(SUBSTITUTE(SUBSTITUTE(SUBSTITUTE(SUBSTITUTE(SUBSTITUTE(SUBSTITUTE(SUBSTITUTE(I5,"24小时保安","Pengawal 24j"),"保安亭","Guardhouse"),"无保安","Tiada Pengawal"),"CCTV监控","CCTV"),"无CCTV监控","Tiada CCTV"),"等级1门禁","Akses Thn 1"),"等级2门禁","Akses Thn 2"),"等级3门禁","Akses Thn 3"),"等级4门禁","Akses Thn 4"),"等级5门禁","Akses Thn 5"),"等级6门禁","Akses Thn 6"),"无门禁","Tiada Kawalan"),"")&amp;IF(AND(I5&lt;&gt;"",OR(J5&lt;&gt;"",K5&lt;&gt;""))," · ","")&amp;IF(J5&lt;&gt;"",SUBSTITUTE(SUBSTITUTE(SUBSTITUTE(SUBSTITUTE(SUBSTITUTE(SUBSTITUTE(SUBSTITUTE(SUBSTITUTE(SUBSTITUTE(SUBSTITUTE(SUBSTITUTE(SUBSTITUTE(J5,"24小时保安","Pengawal 24j"),"保安亭","Guardhouse"),"无保安","Tiada Pengawal"),"CCTV监控","CCTV"),"无CCTV监控","Tiada CCTV"),"等级1门禁","Akses Thn 1"),"等级2门禁","Akses Thn 2"),"等级3门禁","Akses Thn 3"),"等级4门禁","Akses Thn 4"),"等级5门禁","Akses Thn 5"),"等级6门禁","Akses Thn 6"),"无门禁","Tiada Kawalan"),"")&amp;IF(AND(J5&lt;&gt;"",K5&lt;&gt;"")," · ","")&amp;IF(K5&lt;&gt;"",SUBSTITUTE(SUBSTITUTE(SUBSTITUTE(SUBSTITUTE(SUBSTITUTE(SUBSTITUTE(SUBSTITUTE(SUBSTITUTE(SUBSTITUTE(SUBSTITUTE(SUBSTITUTE(SUBSTITUTE(K5,"24小时保安","Pengawal 24j"),"保安亭","Guardhouse"),"无保安","Tiada Pengawal"),"CCTV监控","CCTV"),"无CCTV监控","Tiada CCTV"),"等级1门禁","Akses Thn 1"),"等级2门禁","Akses Thn 2"),"等级3门禁","Akses Thn 3"),"等级4门禁","Akses Thn 4"),"等级5门禁","Akses Thn 5"),"等级6门禁","Akses Thn 6"),"无门禁","Tiada Kawalan"),""),"")&lt;&gt;"",IF(OR(I5&lt;&gt;"",J5&lt;&gt;"",K5&lt;&gt;""),"🔒 "&amp;IF(I5&lt;&gt;"",SUBSTITUTE(SUBSTITUTE(SUBSTITUTE(SUBSTITUTE(SUBSTITUTE(SUBSTITUTE(SUBSTITUTE(SUBSTITUTE(SUBSTITUTE(SUBSTITUTE(SUBSTITUTE(SUBSTITUTE(I5,"24小时保安","Pengawal 24j"),"保安亭","Guardhouse"),"无保安","Tiada Pengawal"),"CCTV监控","CCTV"),"无CCTV监控","Tiada CCTV"),"等级1门禁","Akses Thn 1"),"等级2门禁","Akses Thn 2"),"等级3门禁","Akses Thn 3"),"等级4门禁","Akses Thn 4"),"等级5门禁","Akses Thn 5"),"等级6门禁","Akses Thn 6"),"无门禁","Tiada Kawalan"),"")&amp;IF(AND(I5&lt;&gt;"",OR(J5&lt;&gt;"",K5&lt;&gt;""))," · ","")&amp;IF(J5&lt;&gt;"",SUBSTITUTE(SUBSTITUTE(SUBSTITUTE(SUBSTITUTE(SUBSTITUTE(SUBSTITUTE(SUBSTITUTE(SUBSTITUTE(SUBSTITUTE(SUBSTITUTE(SUBSTITUTE(SUBSTITUTE(J5,"24小时保安","Pengawal 24j"),"保安亭","Guardhouse"),"无保安","Tiada Pengawal"),"CCTV监控","CCTV"),"无CCTV监控","Tiada CCTV"),"等级1门禁","Akses Thn 1"),"等级2门禁","Akses Thn 2"),"等级3门禁","Akses Thn 3"),"等级4门禁","Akses Thn 4"),"等级5门禁","Akses Thn 5"),"等级6门禁","Akses Thn 6"),"无门禁","Tiada Kawalan"),"")&amp;IF(AND(J5&lt;&gt;"",K5&lt;&gt;"")," · ","")&amp;IF(K5&lt;&gt;"",SUBSTITUTE(SUBSTITUTE(SUBSTITUTE(SUBSTITUTE(SUBSTITUTE(SUBSTITUTE(SUBSTITUTE(SUBSTITUTE(SUBSTITUTE(SUBSTITUTE(SUBSTITUTE(SUBSTITUTE(K5,"24小时保安","Pengawal 24j"),"保安亭","Guardhouse"),"无保安","Tiada Pengawal"),"CCTV监控","CCTV"),"无CCTV监控","Tiada CCTV"),"等级1门禁","Akses Thn 1"),"等级2门禁","Akses Thn 2"),"等级3门禁","Akses Thn 3"),"等级4门禁","Akses Thn 4"),"等级5门禁","Akses Thn 5"),"等级6门禁","Akses Thn 6"),"无门禁","Tiada Kawalan"),""),"")&amp;"
","")&amp;IF(L5&lt;&gt;"","💰 Sewa Bulanan RM "&amp;TEXT(L5,"#,##0")&amp;"
","")&amp;"
Adakah masih tersedia? Terima kasih!","")</f>
        <v>Helo! Saya ingin membuat pertanyaan sewa:
🏠 Tiara ParkHome| Karjang
🛏 2Bilik 2Bilik Air
📐 110 sqft
🏊 Kolam Renang·Gim·Kawasan BBQ
🔒 Pengawal 24j · CCTV · Akses Thn 6
💰 Sewa Bulanan RM 1,800
Adakah masih tersedia? Terima kasih!</v>
      </c>
    </row>
    <row r="6" ht="51.75" customHeight="1" spans="1:28">
      <c r="A6" s="15"/>
      <c r="B6" s="15"/>
      <c r="C6" s="15"/>
      <c r="D6" s="15"/>
      <c r="E6" s="15"/>
      <c r="F6" s="15"/>
      <c r="G6" s="15"/>
      <c r="H6" s="15"/>
      <c r="I6" s="16"/>
      <c r="J6" s="16"/>
      <c r="K6" s="16"/>
      <c r="L6" s="15"/>
      <c r="M6" s="17"/>
      <c r="N6" s="18" t="str">
        <f t="shared" si="0"/>
        <v>fa-home</v>
      </c>
      <c r="O6" s="18" t="str">
        <f t="shared" si="1"/>
        <v/>
      </c>
      <c r="P6" s="18" t="str">
        <f t="shared" si="2"/>
        <v/>
      </c>
      <c r="Q6" s="18" t="str">
        <f t="shared" si="3"/>
        <v/>
      </c>
      <c r="R6" s="18" t="str">
        <f t="shared" si="4"/>
        <v/>
      </c>
      <c r="S6" s="18" t="str">
        <f t="shared" si="5"/>
        <v/>
      </c>
      <c r="T6" s="18" t="str">
        <f t="shared" si="6"/>
        <v/>
      </c>
      <c r="U6" s="19" t="str">
        <f t="shared" si="7"/>
        <v/>
      </c>
      <c r="V6" s="18" t="str">
        <f t="shared" si="8"/>
        <v/>
      </c>
      <c r="W6" s="18" t="str">
        <f t="shared" si="9"/>
        <v/>
      </c>
      <c r="X6" s="18" t="str">
        <f t="shared" si="10"/>
        <v/>
      </c>
      <c r="Y6" s="20" t="str">
        <f t="shared" si="11"/>
        <v/>
      </c>
      <c r="Z6" s="20" t="str">
        <f t="shared" si="12"/>
        <v/>
      </c>
      <c r="AA6" s="18"/>
      <c r="AB6" s="20" t="str">
        <f t="shared" si="13"/>
        <v/>
      </c>
    </row>
    <row r="7" ht="51.75" customHeight="1" spans="1:28">
      <c r="A7" s="15"/>
      <c r="B7" s="15"/>
      <c r="C7" s="15"/>
      <c r="D7" s="15"/>
      <c r="E7" s="15"/>
      <c r="F7" s="15"/>
      <c r="G7" s="15"/>
      <c r="H7" s="15"/>
      <c r="I7" s="16"/>
      <c r="J7" s="16"/>
      <c r="K7" s="16"/>
      <c r="L7" s="15"/>
      <c r="M7" s="17"/>
      <c r="N7" s="18" t="str">
        <f t="shared" si="0"/>
        <v>fa-home</v>
      </c>
      <c r="O7" s="18" t="str">
        <f t="shared" si="1"/>
        <v/>
      </c>
      <c r="P7" s="18" t="str">
        <f t="shared" si="2"/>
        <v/>
      </c>
      <c r="Q7" s="18" t="str">
        <f t="shared" si="3"/>
        <v/>
      </c>
      <c r="R7" s="18" t="str">
        <f t="shared" si="4"/>
        <v/>
      </c>
      <c r="S7" s="18" t="str">
        <f t="shared" si="5"/>
        <v/>
      </c>
      <c r="T7" s="18" t="str">
        <f t="shared" si="6"/>
        <v/>
      </c>
      <c r="U7" s="19" t="str">
        <f t="shared" si="7"/>
        <v/>
      </c>
      <c r="V7" s="18" t="str">
        <f t="shared" si="8"/>
        <v/>
      </c>
      <c r="W7" s="18" t="str">
        <f t="shared" si="9"/>
        <v/>
      </c>
      <c r="X7" s="18" t="str">
        <f t="shared" si="10"/>
        <v/>
      </c>
      <c r="Y7" s="20" t="str">
        <f t="shared" si="11"/>
        <v/>
      </c>
      <c r="Z7" s="20" t="str">
        <f t="shared" si="12"/>
        <v/>
      </c>
      <c r="AA7" s="18"/>
      <c r="AB7" s="20" t="str">
        <f t="shared" si="13"/>
        <v/>
      </c>
    </row>
    <row r="8" ht="51.75" customHeight="1" spans="1:28">
      <c r="A8" s="15"/>
      <c r="B8" s="15"/>
      <c r="C8" s="15"/>
      <c r="D8" s="15"/>
      <c r="E8" s="15"/>
      <c r="F8" s="15"/>
      <c r="G8" s="15"/>
      <c r="H8" s="15"/>
      <c r="I8" s="16"/>
      <c r="J8" s="16"/>
      <c r="K8" s="16"/>
      <c r="L8" s="15"/>
      <c r="M8" s="17"/>
      <c r="N8" s="18" t="str">
        <f t="shared" si="0"/>
        <v>fa-home</v>
      </c>
      <c r="O8" s="18" t="str">
        <f t="shared" si="1"/>
        <v/>
      </c>
      <c r="P8" s="18" t="str">
        <f t="shared" si="2"/>
        <v/>
      </c>
      <c r="Q8" s="18" t="str">
        <f t="shared" si="3"/>
        <v/>
      </c>
      <c r="R8" s="18" t="str">
        <f t="shared" si="4"/>
        <v/>
      </c>
      <c r="S8" s="18" t="str">
        <f t="shared" si="5"/>
        <v/>
      </c>
      <c r="T8" s="18" t="str">
        <f t="shared" si="6"/>
        <v/>
      </c>
      <c r="U8" s="19" t="str">
        <f t="shared" si="7"/>
        <v/>
      </c>
      <c r="V8" s="18" t="str">
        <f t="shared" si="8"/>
        <v/>
      </c>
      <c r="W8" s="18" t="str">
        <f t="shared" si="9"/>
        <v/>
      </c>
      <c r="X8" s="18" t="str">
        <f t="shared" si="10"/>
        <v/>
      </c>
      <c r="Y8" s="20" t="str">
        <f t="shared" si="11"/>
        <v/>
      </c>
      <c r="Z8" s="20" t="str">
        <f t="shared" si="12"/>
        <v/>
      </c>
      <c r="AA8" s="18"/>
      <c r="AB8" s="20" t="str">
        <f t="shared" si="13"/>
        <v/>
      </c>
    </row>
    <row r="9" ht="51.75" customHeight="1" spans="1:28">
      <c r="A9" s="15"/>
      <c r="B9" s="15"/>
      <c r="C9" s="15"/>
      <c r="D9" s="15"/>
      <c r="E9" s="15"/>
      <c r="F9" s="15"/>
      <c r="G9" s="15"/>
      <c r="H9" s="15"/>
      <c r="I9" s="16"/>
      <c r="J9" s="16"/>
      <c r="K9" s="16"/>
      <c r="L9" s="15"/>
      <c r="M9" s="17"/>
      <c r="N9" s="18" t="str">
        <f t="shared" si="0"/>
        <v>fa-home</v>
      </c>
      <c r="O9" s="18" t="str">
        <f t="shared" si="1"/>
        <v/>
      </c>
      <c r="P9" s="18" t="str">
        <f t="shared" si="2"/>
        <v/>
      </c>
      <c r="Q9" s="18" t="str">
        <f t="shared" si="3"/>
        <v/>
      </c>
      <c r="R9" s="18" t="str">
        <f t="shared" si="4"/>
        <v/>
      </c>
      <c r="S9" s="18" t="str">
        <f t="shared" si="5"/>
        <v/>
      </c>
      <c r="T9" s="18" t="str">
        <f t="shared" si="6"/>
        <v/>
      </c>
      <c r="U9" s="19" t="str">
        <f t="shared" si="7"/>
        <v/>
      </c>
      <c r="V9" s="18" t="str">
        <f t="shared" si="8"/>
        <v/>
      </c>
      <c r="W9" s="18" t="str">
        <f t="shared" si="9"/>
        <v/>
      </c>
      <c r="X9" s="18" t="str">
        <f t="shared" si="10"/>
        <v/>
      </c>
      <c r="Y9" s="20" t="str">
        <f t="shared" si="11"/>
        <v/>
      </c>
      <c r="Z9" s="20" t="str">
        <f t="shared" si="12"/>
        <v/>
      </c>
      <c r="AA9" s="18"/>
      <c r="AB9" s="20" t="str">
        <f t="shared" si="13"/>
        <v/>
      </c>
    </row>
    <row r="10" ht="51.75" customHeight="1" spans="1:28">
      <c r="A10" s="15"/>
      <c r="B10" s="15"/>
      <c r="C10" s="15"/>
      <c r="D10" s="15"/>
      <c r="E10" s="15"/>
      <c r="F10" s="15"/>
      <c r="G10" s="15"/>
      <c r="H10" s="15"/>
      <c r="I10" s="16"/>
      <c r="J10" s="16"/>
      <c r="K10" s="16"/>
      <c r="L10" s="15"/>
      <c r="M10" s="17"/>
      <c r="N10" s="18" t="str">
        <f t="shared" si="0"/>
        <v>fa-home</v>
      </c>
      <c r="O10" s="18" t="str">
        <f t="shared" si="1"/>
        <v/>
      </c>
      <c r="P10" s="18" t="str">
        <f t="shared" si="2"/>
        <v/>
      </c>
      <c r="Q10" s="18" t="str">
        <f t="shared" si="3"/>
        <v/>
      </c>
      <c r="R10" s="18" t="str">
        <f t="shared" si="4"/>
        <v/>
      </c>
      <c r="S10" s="18" t="str">
        <f t="shared" si="5"/>
        <v/>
      </c>
      <c r="T10" s="18" t="str">
        <f t="shared" si="6"/>
        <v/>
      </c>
      <c r="U10" s="19" t="str">
        <f t="shared" si="7"/>
        <v/>
      </c>
      <c r="V10" s="18" t="str">
        <f t="shared" si="8"/>
        <v/>
      </c>
      <c r="W10" s="18" t="str">
        <f t="shared" si="9"/>
        <v/>
      </c>
      <c r="X10" s="18" t="str">
        <f t="shared" si="10"/>
        <v/>
      </c>
      <c r="Y10" s="20" t="str">
        <f t="shared" si="11"/>
        <v/>
      </c>
      <c r="Z10" s="20" t="str">
        <f t="shared" si="12"/>
        <v/>
      </c>
      <c r="AA10" s="18"/>
      <c r="AB10" s="20" t="str">
        <f t="shared" si="13"/>
        <v/>
      </c>
    </row>
    <row r="11" ht="51.75" customHeight="1" spans="1:28">
      <c r="A11" s="15"/>
      <c r="B11" s="15"/>
      <c r="C11" s="15"/>
      <c r="D11" s="15"/>
      <c r="E11" s="15"/>
      <c r="F11" s="15"/>
      <c r="G11" s="15"/>
      <c r="H11" s="15"/>
      <c r="I11" s="16"/>
      <c r="J11" s="16"/>
      <c r="K11" s="16"/>
      <c r="L11" s="15"/>
      <c r="M11" s="17"/>
      <c r="N11" s="18" t="str">
        <f t="shared" si="0"/>
        <v>fa-home</v>
      </c>
      <c r="O11" s="18" t="str">
        <f t="shared" si="1"/>
        <v/>
      </c>
      <c r="P11" s="18" t="str">
        <f t="shared" si="2"/>
        <v/>
      </c>
      <c r="Q11" s="18" t="str">
        <f t="shared" si="3"/>
        <v/>
      </c>
      <c r="R11" s="18" t="str">
        <f t="shared" si="4"/>
        <v/>
      </c>
      <c r="S11" s="18" t="str">
        <f t="shared" si="5"/>
        <v/>
      </c>
      <c r="T11" s="18" t="str">
        <f t="shared" si="6"/>
        <v/>
      </c>
      <c r="U11" s="19" t="str">
        <f t="shared" si="7"/>
        <v/>
      </c>
      <c r="V11" s="18" t="str">
        <f t="shared" si="8"/>
        <v/>
      </c>
      <c r="W11" s="18" t="str">
        <f t="shared" si="9"/>
        <v/>
      </c>
      <c r="X11" s="18" t="str">
        <f t="shared" si="10"/>
        <v/>
      </c>
      <c r="Y11" s="20" t="str">
        <f t="shared" si="11"/>
        <v/>
      </c>
      <c r="Z11" s="20" t="str">
        <f t="shared" si="12"/>
        <v/>
      </c>
      <c r="AA11" s="18"/>
      <c r="AB11" s="20" t="str">
        <f t="shared" si="13"/>
        <v/>
      </c>
    </row>
    <row r="12" ht="51.75" customHeight="1" spans="1:28">
      <c r="A12" s="15"/>
      <c r="B12" s="15"/>
      <c r="C12" s="15"/>
      <c r="D12" s="15"/>
      <c r="E12" s="15"/>
      <c r="F12" s="15"/>
      <c r="G12" s="15"/>
      <c r="H12" s="15"/>
      <c r="I12" s="16"/>
      <c r="J12" s="16"/>
      <c r="K12" s="16"/>
      <c r="L12" s="15"/>
      <c r="M12" s="17"/>
      <c r="N12" s="18" t="str">
        <f t="shared" si="0"/>
        <v>fa-home</v>
      </c>
      <c r="O12" s="18" t="str">
        <f t="shared" si="1"/>
        <v/>
      </c>
      <c r="P12" s="18" t="str">
        <f t="shared" si="2"/>
        <v/>
      </c>
      <c r="Q12" s="18" t="str">
        <f t="shared" si="3"/>
        <v/>
      </c>
      <c r="R12" s="18" t="str">
        <f t="shared" si="4"/>
        <v/>
      </c>
      <c r="S12" s="18" t="str">
        <f t="shared" si="5"/>
        <v/>
      </c>
      <c r="T12" s="18" t="str">
        <f t="shared" si="6"/>
        <v/>
      </c>
      <c r="U12" s="19" t="str">
        <f t="shared" si="7"/>
        <v/>
      </c>
      <c r="V12" s="18" t="str">
        <f t="shared" si="8"/>
        <v/>
      </c>
      <c r="W12" s="18" t="str">
        <f t="shared" si="9"/>
        <v/>
      </c>
      <c r="X12" s="18" t="str">
        <f t="shared" si="10"/>
        <v/>
      </c>
      <c r="Y12" s="20" t="str">
        <f t="shared" si="11"/>
        <v/>
      </c>
      <c r="Z12" s="20" t="str">
        <f t="shared" si="12"/>
        <v/>
      </c>
      <c r="AA12" s="18"/>
      <c r="AB12" s="20" t="str">
        <f t="shared" si="13"/>
        <v/>
      </c>
    </row>
    <row r="13" ht="51.75" customHeight="1" spans="1:28">
      <c r="A13" s="15"/>
      <c r="B13" s="15"/>
      <c r="C13" s="15"/>
      <c r="D13" s="15"/>
      <c r="E13" s="15"/>
      <c r="F13" s="15"/>
      <c r="G13" s="15"/>
      <c r="H13" s="15"/>
      <c r="I13" s="16"/>
      <c r="J13" s="16"/>
      <c r="K13" s="16"/>
      <c r="L13" s="15"/>
      <c r="M13" s="17"/>
      <c r="N13" s="18" t="str">
        <f t="shared" si="0"/>
        <v>fa-home</v>
      </c>
      <c r="O13" s="18" t="str">
        <f t="shared" si="1"/>
        <v/>
      </c>
      <c r="P13" s="18" t="str">
        <f t="shared" si="2"/>
        <v/>
      </c>
      <c r="Q13" s="18" t="str">
        <f t="shared" si="3"/>
        <v/>
      </c>
      <c r="R13" s="18" t="str">
        <f t="shared" si="4"/>
        <v/>
      </c>
      <c r="S13" s="18" t="str">
        <f t="shared" si="5"/>
        <v/>
      </c>
      <c r="T13" s="18" t="str">
        <f t="shared" si="6"/>
        <v/>
      </c>
      <c r="U13" s="19" t="str">
        <f t="shared" si="7"/>
        <v/>
      </c>
      <c r="V13" s="18" t="str">
        <f t="shared" si="8"/>
        <v/>
      </c>
      <c r="W13" s="18" t="str">
        <f t="shared" si="9"/>
        <v/>
      </c>
      <c r="X13" s="18" t="str">
        <f t="shared" si="10"/>
        <v/>
      </c>
      <c r="Y13" s="20" t="str">
        <f t="shared" si="11"/>
        <v/>
      </c>
      <c r="Z13" s="20" t="str">
        <f t="shared" si="12"/>
        <v/>
      </c>
      <c r="AA13" s="18"/>
      <c r="AB13" s="20" t="str">
        <f t="shared" si="13"/>
        <v/>
      </c>
    </row>
    <row r="14" ht="51.75" customHeight="1" spans="1:28">
      <c r="A14" s="15"/>
      <c r="B14" s="15"/>
      <c r="C14" s="15"/>
      <c r="D14" s="15"/>
      <c r="E14" s="15"/>
      <c r="F14" s="15"/>
      <c r="G14" s="15"/>
      <c r="H14" s="15"/>
      <c r="I14" s="16"/>
      <c r="J14" s="16"/>
      <c r="K14" s="16"/>
      <c r="L14" s="15"/>
      <c r="M14" s="17"/>
      <c r="N14" s="18" t="str">
        <f t="shared" si="0"/>
        <v>fa-home</v>
      </c>
      <c r="O14" s="18" t="str">
        <f t="shared" si="1"/>
        <v/>
      </c>
      <c r="P14" s="18" t="str">
        <f t="shared" si="2"/>
        <v/>
      </c>
      <c r="Q14" s="18" t="str">
        <f t="shared" si="3"/>
        <v/>
      </c>
      <c r="R14" s="18" t="str">
        <f t="shared" si="4"/>
        <v/>
      </c>
      <c r="S14" s="18" t="str">
        <f t="shared" si="5"/>
        <v/>
      </c>
      <c r="T14" s="18" t="str">
        <f t="shared" si="6"/>
        <v/>
      </c>
      <c r="U14" s="19" t="str">
        <f t="shared" si="7"/>
        <v/>
      </c>
      <c r="V14" s="18" t="str">
        <f t="shared" si="8"/>
        <v/>
      </c>
      <c r="W14" s="18" t="str">
        <f t="shared" si="9"/>
        <v/>
      </c>
      <c r="X14" s="18" t="str">
        <f t="shared" si="10"/>
        <v/>
      </c>
      <c r="Y14" s="20" t="str">
        <f t="shared" si="11"/>
        <v/>
      </c>
      <c r="Z14" s="20" t="str">
        <f t="shared" si="12"/>
        <v/>
      </c>
      <c r="AA14" s="18"/>
      <c r="AB14" s="20" t="str">
        <f t="shared" si="13"/>
        <v/>
      </c>
    </row>
    <row r="15" ht="51.75" customHeight="1" spans="1:28">
      <c r="A15" s="15"/>
      <c r="B15" s="15"/>
      <c r="C15" s="15"/>
      <c r="D15" s="15"/>
      <c r="E15" s="15"/>
      <c r="F15" s="15"/>
      <c r="G15" s="15"/>
      <c r="H15" s="15"/>
      <c r="I15" s="16"/>
      <c r="J15" s="16"/>
      <c r="K15" s="16"/>
      <c r="L15" s="15"/>
      <c r="M15" s="17"/>
      <c r="N15" s="18" t="str">
        <f t="shared" si="0"/>
        <v>fa-home</v>
      </c>
      <c r="O15" s="18" t="str">
        <f t="shared" si="1"/>
        <v/>
      </c>
      <c r="P15" s="18" t="str">
        <f t="shared" si="2"/>
        <v/>
      </c>
      <c r="Q15" s="18" t="str">
        <f t="shared" si="3"/>
        <v/>
      </c>
      <c r="R15" s="18" t="str">
        <f t="shared" si="4"/>
        <v/>
      </c>
      <c r="S15" s="18" t="str">
        <f t="shared" si="5"/>
        <v/>
      </c>
      <c r="T15" s="18" t="str">
        <f t="shared" si="6"/>
        <v/>
      </c>
      <c r="U15" s="19" t="str">
        <f t="shared" si="7"/>
        <v/>
      </c>
      <c r="V15" s="18" t="str">
        <f t="shared" si="8"/>
        <v/>
      </c>
      <c r="W15" s="18" t="str">
        <f t="shared" si="9"/>
        <v/>
      </c>
      <c r="X15" s="18" t="str">
        <f t="shared" si="10"/>
        <v/>
      </c>
      <c r="Y15" s="20" t="str">
        <f t="shared" si="11"/>
        <v/>
      </c>
      <c r="Z15" s="20" t="str">
        <f t="shared" si="12"/>
        <v/>
      </c>
      <c r="AA15" s="18"/>
      <c r="AB15" s="20" t="str">
        <f t="shared" si="13"/>
        <v/>
      </c>
    </row>
    <row r="16" ht="51.75" customHeight="1" spans="1:28">
      <c r="A16" s="15"/>
      <c r="B16" s="15"/>
      <c r="C16" s="15"/>
      <c r="D16" s="15"/>
      <c r="E16" s="15"/>
      <c r="F16" s="15"/>
      <c r="G16" s="15"/>
      <c r="H16" s="15"/>
      <c r="I16" s="16"/>
      <c r="J16" s="16"/>
      <c r="K16" s="16"/>
      <c r="L16" s="15"/>
      <c r="M16" s="17"/>
      <c r="N16" s="18" t="str">
        <f t="shared" si="0"/>
        <v>fa-home</v>
      </c>
      <c r="O16" s="18" t="str">
        <f t="shared" si="1"/>
        <v/>
      </c>
      <c r="P16" s="18" t="str">
        <f t="shared" si="2"/>
        <v/>
      </c>
      <c r="Q16" s="18" t="str">
        <f t="shared" si="3"/>
        <v/>
      </c>
      <c r="R16" s="18" t="str">
        <f t="shared" si="4"/>
        <v/>
      </c>
      <c r="S16" s="18" t="str">
        <f t="shared" si="5"/>
        <v/>
      </c>
      <c r="T16" s="18" t="str">
        <f t="shared" si="6"/>
        <v/>
      </c>
      <c r="U16" s="19" t="str">
        <f t="shared" si="7"/>
        <v/>
      </c>
      <c r="V16" s="18" t="str">
        <f t="shared" si="8"/>
        <v/>
      </c>
      <c r="W16" s="18" t="str">
        <f t="shared" si="9"/>
        <v/>
      </c>
      <c r="X16" s="18" t="str">
        <f t="shared" si="10"/>
        <v/>
      </c>
      <c r="Y16" s="20" t="str">
        <f t="shared" si="11"/>
        <v/>
      </c>
      <c r="Z16" s="20" t="str">
        <f t="shared" si="12"/>
        <v/>
      </c>
      <c r="AA16" s="18"/>
      <c r="AB16" s="20" t="str">
        <f t="shared" si="13"/>
        <v/>
      </c>
    </row>
    <row r="17" ht="51.75" customHeight="1" spans="1:28">
      <c r="A17" s="15"/>
      <c r="B17" s="15"/>
      <c r="C17" s="15"/>
      <c r="D17" s="15"/>
      <c r="E17" s="15"/>
      <c r="F17" s="15"/>
      <c r="G17" s="15"/>
      <c r="H17" s="15"/>
      <c r="I17" s="16"/>
      <c r="J17" s="16"/>
      <c r="K17" s="16"/>
      <c r="L17" s="15"/>
      <c r="M17" s="17"/>
      <c r="N17" s="18" t="str">
        <f t="shared" si="0"/>
        <v>fa-home</v>
      </c>
      <c r="O17" s="18" t="str">
        <f t="shared" si="1"/>
        <v/>
      </c>
      <c r="P17" s="18" t="str">
        <f t="shared" si="2"/>
        <v/>
      </c>
      <c r="Q17" s="18" t="str">
        <f t="shared" si="3"/>
        <v/>
      </c>
      <c r="R17" s="18" t="str">
        <f t="shared" si="4"/>
        <v/>
      </c>
      <c r="S17" s="18" t="str">
        <f t="shared" si="5"/>
        <v/>
      </c>
      <c r="T17" s="18" t="str">
        <f t="shared" si="6"/>
        <v/>
      </c>
      <c r="U17" s="19" t="str">
        <f t="shared" si="7"/>
        <v/>
      </c>
      <c r="V17" s="18" t="str">
        <f t="shared" si="8"/>
        <v/>
      </c>
      <c r="W17" s="18" t="str">
        <f t="shared" si="9"/>
        <v/>
      </c>
      <c r="X17" s="18" t="str">
        <f t="shared" si="10"/>
        <v/>
      </c>
      <c r="Y17" s="20" t="str">
        <f t="shared" si="11"/>
        <v/>
      </c>
      <c r="Z17" s="20" t="str">
        <f t="shared" si="12"/>
        <v/>
      </c>
      <c r="AA17" s="18"/>
      <c r="AB17" s="20" t="str">
        <f t="shared" si="13"/>
        <v/>
      </c>
    </row>
    <row r="18" ht="51.75" customHeight="1" spans="1:28">
      <c r="A18" s="15"/>
      <c r="B18" s="15"/>
      <c r="C18" s="15"/>
      <c r="D18" s="15"/>
      <c r="E18" s="15"/>
      <c r="F18" s="15"/>
      <c r="G18" s="15"/>
      <c r="H18" s="15"/>
      <c r="I18" s="16"/>
      <c r="J18" s="16"/>
      <c r="K18" s="16"/>
      <c r="L18" s="15"/>
      <c r="M18" s="17"/>
      <c r="N18" s="18" t="str">
        <f t="shared" si="0"/>
        <v>fa-home</v>
      </c>
      <c r="O18" s="18" t="str">
        <f t="shared" si="1"/>
        <v/>
      </c>
      <c r="P18" s="18" t="str">
        <f t="shared" si="2"/>
        <v/>
      </c>
      <c r="Q18" s="18" t="str">
        <f t="shared" si="3"/>
        <v/>
      </c>
      <c r="R18" s="18" t="str">
        <f t="shared" si="4"/>
        <v/>
      </c>
      <c r="S18" s="18" t="str">
        <f t="shared" si="5"/>
        <v/>
      </c>
      <c r="T18" s="18" t="str">
        <f t="shared" si="6"/>
        <v/>
      </c>
      <c r="U18" s="19" t="str">
        <f t="shared" si="7"/>
        <v/>
      </c>
      <c r="V18" s="18" t="str">
        <f t="shared" si="8"/>
        <v/>
      </c>
      <c r="W18" s="18" t="str">
        <f t="shared" si="9"/>
        <v/>
      </c>
      <c r="X18" s="18" t="str">
        <f t="shared" si="10"/>
        <v/>
      </c>
      <c r="Y18" s="20" t="str">
        <f t="shared" si="11"/>
        <v/>
      </c>
      <c r="Z18" s="20" t="str">
        <f t="shared" si="12"/>
        <v/>
      </c>
      <c r="AA18" s="18"/>
      <c r="AB18" s="20" t="str">
        <f t="shared" si="13"/>
        <v/>
      </c>
    </row>
    <row r="19" ht="51.75" customHeight="1" spans="1:28">
      <c r="A19" s="15"/>
      <c r="B19" s="15"/>
      <c r="C19" s="15"/>
      <c r="D19" s="15"/>
      <c r="E19" s="15"/>
      <c r="F19" s="15"/>
      <c r="G19" s="15"/>
      <c r="H19" s="15"/>
      <c r="I19" s="16"/>
      <c r="J19" s="16"/>
      <c r="K19" s="16"/>
      <c r="L19" s="15"/>
      <c r="M19" s="17"/>
      <c r="N19" s="18" t="str">
        <f t="shared" si="0"/>
        <v>fa-home</v>
      </c>
      <c r="O19" s="18" t="str">
        <f t="shared" si="1"/>
        <v/>
      </c>
      <c r="P19" s="18" t="str">
        <f t="shared" si="2"/>
        <v/>
      </c>
      <c r="Q19" s="18" t="str">
        <f t="shared" si="3"/>
        <v/>
      </c>
      <c r="R19" s="18" t="str">
        <f t="shared" si="4"/>
        <v/>
      </c>
      <c r="S19" s="18" t="str">
        <f t="shared" si="5"/>
        <v/>
      </c>
      <c r="T19" s="18" t="str">
        <f t="shared" si="6"/>
        <v/>
      </c>
      <c r="U19" s="19" t="str">
        <f t="shared" si="7"/>
        <v/>
      </c>
      <c r="V19" s="18" t="str">
        <f t="shared" si="8"/>
        <v/>
      </c>
      <c r="W19" s="18" t="str">
        <f t="shared" si="9"/>
        <v/>
      </c>
      <c r="X19" s="18" t="str">
        <f t="shared" si="10"/>
        <v/>
      </c>
      <c r="Y19" s="20" t="str">
        <f t="shared" si="11"/>
        <v/>
      </c>
      <c r="Z19" s="20" t="str">
        <f t="shared" si="12"/>
        <v/>
      </c>
      <c r="AA19" s="18"/>
      <c r="AB19" s="20" t="str">
        <f t="shared" si="13"/>
        <v/>
      </c>
    </row>
    <row r="20" ht="51.75" customHeight="1" spans="1:28">
      <c r="A20" s="15"/>
      <c r="B20" s="15"/>
      <c r="C20" s="15"/>
      <c r="D20" s="15"/>
      <c r="E20" s="15"/>
      <c r="F20" s="15"/>
      <c r="G20" s="15"/>
      <c r="H20" s="15"/>
      <c r="I20" s="16"/>
      <c r="J20" s="16"/>
      <c r="K20" s="16"/>
      <c r="L20" s="15"/>
      <c r="M20" s="17"/>
      <c r="N20" s="18" t="str">
        <f t="shared" si="0"/>
        <v>fa-home</v>
      </c>
      <c r="O20" s="18" t="str">
        <f t="shared" si="1"/>
        <v/>
      </c>
      <c r="P20" s="18" t="str">
        <f t="shared" si="2"/>
        <v/>
      </c>
      <c r="Q20" s="18" t="str">
        <f t="shared" si="3"/>
        <v/>
      </c>
      <c r="R20" s="18" t="str">
        <f t="shared" si="4"/>
        <v/>
      </c>
      <c r="S20" s="18" t="str">
        <f t="shared" si="5"/>
        <v/>
      </c>
      <c r="T20" s="18" t="str">
        <f t="shared" si="6"/>
        <v/>
      </c>
      <c r="U20" s="19" t="str">
        <f t="shared" si="7"/>
        <v/>
      </c>
      <c r="V20" s="18" t="str">
        <f t="shared" si="8"/>
        <v/>
      </c>
      <c r="W20" s="18" t="str">
        <f t="shared" si="9"/>
        <v/>
      </c>
      <c r="X20" s="18" t="str">
        <f t="shared" si="10"/>
        <v/>
      </c>
      <c r="Y20" s="20" t="str">
        <f t="shared" si="11"/>
        <v/>
      </c>
      <c r="Z20" s="20" t="str">
        <f t="shared" si="12"/>
        <v/>
      </c>
      <c r="AA20" s="18"/>
      <c r="AB20" s="20" t="str">
        <f t="shared" si="13"/>
        <v/>
      </c>
    </row>
    <row r="21" ht="51.75" customHeight="1" spans="1:28">
      <c r="A21" s="15"/>
      <c r="B21" s="15"/>
      <c r="C21" s="15"/>
      <c r="D21" s="15"/>
      <c r="E21" s="15"/>
      <c r="F21" s="15"/>
      <c r="G21" s="15"/>
      <c r="H21" s="15"/>
      <c r="I21" s="16"/>
      <c r="J21" s="16"/>
      <c r="K21" s="16"/>
      <c r="L21" s="15"/>
      <c r="M21" s="17"/>
      <c r="N21" s="18" t="str">
        <f t="shared" si="0"/>
        <v>fa-home</v>
      </c>
      <c r="O21" s="18" t="str">
        <f t="shared" si="1"/>
        <v/>
      </c>
      <c r="P21" s="18" t="str">
        <f t="shared" si="2"/>
        <v/>
      </c>
      <c r="Q21" s="18" t="str">
        <f t="shared" si="3"/>
        <v/>
      </c>
      <c r="R21" s="18" t="str">
        <f t="shared" si="4"/>
        <v/>
      </c>
      <c r="S21" s="18" t="str">
        <f t="shared" si="5"/>
        <v/>
      </c>
      <c r="T21" s="18" t="str">
        <f t="shared" si="6"/>
        <v/>
      </c>
      <c r="U21" s="19" t="str">
        <f t="shared" si="7"/>
        <v/>
      </c>
      <c r="V21" s="18" t="str">
        <f t="shared" si="8"/>
        <v/>
      </c>
      <c r="W21" s="18" t="str">
        <f t="shared" si="9"/>
        <v/>
      </c>
      <c r="X21" s="18" t="str">
        <f t="shared" si="10"/>
        <v/>
      </c>
      <c r="Y21" s="20" t="str">
        <f t="shared" si="11"/>
        <v/>
      </c>
      <c r="Z21" s="20" t="str">
        <f t="shared" si="12"/>
        <v/>
      </c>
      <c r="AA21" s="18"/>
      <c r="AB21" s="20" t="str">
        <f t="shared" si="13"/>
        <v/>
      </c>
    </row>
    <row r="22" ht="51.75" customHeight="1" spans="1:28">
      <c r="A22" s="15"/>
      <c r="B22" s="15"/>
      <c r="C22" s="15"/>
      <c r="D22" s="15"/>
      <c r="E22" s="15"/>
      <c r="F22" s="15"/>
      <c r="G22" s="15"/>
      <c r="H22" s="15"/>
      <c r="I22" s="16"/>
      <c r="J22" s="16"/>
      <c r="K22" s="16"/>
      <c r="L22" s="15"/>
      <c r="M22" s="17"/>
      <c r="N22" s="18" t="str">
        <f t="shared" si="0"/>
        <v>fa-home</v>
      </c>
      <c r="O22" s="18" t="str">
        <f t="shared" si="1"/>
        <v/>
      </c>
      <c r="P22" s="18" t="str">
        <f t="shared" si="2"/>
        <v/>
      </c>
      <c r="Q22" s="18" t="str">
        <f t="shared" si="3"/>
        <v/>
      </c>
      <c r="R22" s="18" t="str">
        <f t="shared" si="4"/>
        <v/>
      </c>
      <c r="S22" s="18" t="str">
        <f t="shared" si="5"/>
        <v/>
      </c>
      <c r="T22" s="18" t="str">
        <f t="shared" si="6"/>
        <v/>
      </c>
      <c r="U22" s="19" t="str">
        <f t="shared" si="7"/>
        <v/>
      </c>
      <c r="V22" s="18" t="str">
        <f t="shared" si="8"/>
        <v/>
      </c>
      <c r="W22" s="18" t="str">
        <f t="shared" si="9"/>
        <v/>
      </c>
      <c r="X22" s="18" t="str">
        <f t="shared" si="10"/>
        <v/>
      </c>
      <c r="Y22" s="20" t="str">
        <f t="shared" si="11"/>
        <v/>
      </c>
      <c r="Z22" s="20" t="str">
        <f t="shared" si="12"/>
        <v/>
      </c>
      <c r="AA22" s="18"/>
      <c r="AB22" s="20" t="str">
        <f t="shared" si="13"/>
        <v/>
      </c>
    </row>
    <row r="23" ht="51.75" customHeight="1" spans="1:28">
      <c r="A23" s="15"/>
      <c r="B23" s="15"/>
      <c r="C23" s="15"/>
      <c r="D23" s="15"/>
      <c r="E23" s="15"/>
      <c r="F23" s="15"/>
      <c r="G23" s="15"/>
      <c r="H23" s="15"/>
      <c r="I23" s="16"/>
      <c r="J23" s="16"/>
      <c r="K23" s="16"/>
      <c r="L23" s="15"/>
      <c r="M23" s="17"/>
      <c r="N23" s="18" t="str">
        <f t="shared" si="0"/>
        <v>fa-home</v>
      </c>
      <c r="O23" s="18" t="str">
        <f t="shared" si="1"/>
        <v/>
      </c>
      <c r="P23" s="18" t="str">
        <f t="shared" si="2"/>
        <v/>
      </c>
      <c r="Q23" s="18" t="str">
        <f t="shared" si="3"/>
        <v/>
      </c>
      <c r="R23" s="18" t="str">
        <f t="shared" si="4"/>
        <v/>
      </c>
      <c r="S23" s="18" t="str">
        <f t="shared" si="5"/>
        <v/>
      </c>
      <c r="T23" s="18" t="str">
        <f t="shared" si="6"/>
        <v/>
      </c>
      <c r="U23" s="19" t="str">
        <f t="shared" si="7"/>
        <v/>
      </c>
      <c r="V23" s="18" t="str">
        <f t="shared" si="8"/>
        <v/>
      </c>
      <c r="W23" s="18" t="str">
        <f t="shared" si="9"/>
        <v/>
      </c>
      <c r="X23" s="18" t="str">
        <f t="shared" si="10"/>
        <v/>
      </c>
      <c r="Y23" s="20" t="str">
        <f t="shared" si="11"/>
        <v/>
      </c>
      <c r="Z23" s="20" t="str">
        <f t="shared" si="12"/>
        <v/>
      </c>
      <c r="AA23" s="18"/>
      <c r="AB23" s="20" t="str">
        <f t="shared" si="13"/>
        <v/>
      </c>
    </row>
    <row r="24" ht="51.75" customHeight="1" spans="1:28">
      <c r="A24" s="15"/>
      <c r="B24" s="15"/>
      <c r="C24" s="15"/>
      <c r="D24" s="15"/>
      <c r="E24" s="15"/>
      <c r="F24" s="15"/>
      <c r="G24" s="15"/>
      <c r="H24" s="15"/>
      <c r="I24" s="16"/>
      <c r="J24" s="16"/>
      <c r="K24" s="16"/>
      <c r="L24" s="15"/>
      <c r="M24" s="17"/>
      <c r="N24" s="18" t="str">
        <f t="shared" si="0"/>
        <v>fa-home</v>
      </c>
      <c r="O24" s="18" t="str">
        <f t="shared" si="1"/>
        <v/>
      </c>
      <c r="P24" s="18" t="str">
        <f t="shared" si="2"/>
        <v/>
      </c>
      <c r="Q24" s="18" t="str">
        <f t="shared" si="3"/>
        <v/>
      </c>
      <c r="R24" s="18" t="str">
        <f t="shared" si="4"/>
        <v/>
      </c>
      <c r="S24" s="18" t="str">
        <f t="shared" si="5"/>
        <v/>
      </c>
      <c r="T24" s="18" t="str">
        <f t="shared" si="6"/>
        <v/>
      </c>
      <c r="U24" s="19" t="str">
        <f t="shared" si="7"/>
        <v/>
      </c>
      <c r="V24" s="18" t="str">
        <f t="shared" si="8"/>
        <v/>
      </c>
      <c r="W24" s="18" t="str">
        <f t="shared" si="9"/>
        <v/>
      </c>
      <c r="X24" s="18" t="str">
        <f t="shared" si="10"/>
        <v/>
      </c>
      <c r="Y24" s="20" t="str">
        <f t="shared" si="11"/>
        <v/>
      </c>
      <c r="Z24" s="20" t="str">
        <f t="shared" si="12"/>
        <v/>
      </c>
      <c r="AA24" s="18"/>
      <c r="AB24" s="20" t="str">
        <f t="shared" si="13"/>
        <v/>
      </c>
    </row>
    <row r="25" ht="51.75" customHeight="1" spans="1:28">
      <c r="A25" s="15"/>
      <c r="B25" s="15"/>
      <c r="C25" s="15"/>
      <c r="D25" s="15"/>
      <c r="E25" s="15"/>
      <c r="F25" s="15"/>
      <c r="G25" s="15"/>
      <c r="H25" s="15"/>
      <c r="I25" s="16"/>
      <c r="J25" s="16"/>
      <c r="K25" s="16"/>
      <c r="L25" s="15"/>
      <c r="M25" s="17"/>
      <c r="N25" s="18" t="str">
        <f t="shared" si="0"/>
        <v>fa-home</v>
      </c>
      <c r="O25" s="18" t="str">
        <f t="shared" si="1"/>
        <v/>
      </c>
      <c r="P25" s="18" t="str">
        <f t="shared" si="2"/>
        <v/>
      </c>
      <c r="Q25" s="18" t="str">
        <f t="shared" si="3"/>
        <v/>
      </c>
      <c r="R25" s="18" t="str">
        <f t="shared" si="4"/>
        <v/>
      </c>
      <c r="S25" s="18" t="str">
        <f t="shared" si="5"/>
        <v/>
      </c>
      <c r="T25" s="18" t="str">
        <f t="shared" si="6"/>
        <v/>
      </c>
      <c r="U25" s="19" t="str">
        <f t="shared" si="7"/>
        <v/>
      </c>
      <c r="V25" s="18" t="str">
        <f t="shared" si="8"/>
        <v/>
      </c>
      <c r="W25" s="18" t="str">
        <f t="shared" si="9"/>
        <v/>
      </c>
      <c r="X25" s="18" t="str">
        <f t="shared" si="10"/>
        <v/>
      </c>
      <c r="Y25" s="20" t="str">
        <f t="shared" si="11"/>
        <v/>
      </c>
      <c r="Z25" s="20" t="str">
        <f t="shared" si="12"/>
        <v/>
      </c>
      <c r="AA25" s="18"/>
      <c r="AB25" s="20" t="str">
        <f t="shared" si="13"/>
        <v/>
      </c>
    </row>
    <row r="26" ht="51.75" customHeight="1" spans="1:28">
      <c r="A26" s="15"/>
      <c r="B26" s="15"/>
      <c r="C26" s="15"/>
      <c r="D26" s="15"/>
      <c r="E26" s="15"/>
      <c r="F26" s="15"/>
      <c r="G26" s="15"/>
      <c r="H26" s="15"/>
      <c r="I26" s="16"/>
      <c r="J26" s="16"/>
      <c r="K26" s="16"/>
      <c r="L26" s="15"/>
      <c r="M26" s="17"/>
      <c r="N26" s="18" t="str">
        <f t="shared" si="0"/>
        <v>fa-home</v>
      </c>
      <c r="O26" s="18" t="str">
        <f t="shared" si="1"/>
        <v/>
      </c>
      <c r="P26" s="18" t="str">
        <f t="shared" si="2"/>
        <v/>
      </c>
      <c r="Q26" s="18" t="str">
        <f t="shared" si="3"/>
        <v/>
      </c>
      <c r="R26" s="18" t="str">
        <f t="shared" si="4"/>
        <v/>
      </c>
      <c r="S26" s="18" t="str">
        <f t="shared" si="5"/>
        <v/>
      </c>
      <c r="T26" s="18" t="str">
        <f t="shared" si="6"/>
        <v/>
      </c>
      <c r="U26" s="19" t="str">
        <f t="shared" si="7"/>
        <v/>
      </c>
      <c r="V26" s="18" t="str">
        <f t="shared" si="8"/>
        <v/>
      </c>
      <c r="W26" s="18" t="str">
        <f t="shared" si="9"/>
        <v/>
      </c>
      <c r="X26" s="18" t="str">
        <f t="shared" si="10"/>
        <v/>
      </c>
      <c r="Y26" s="20" t="str">
        <f t="shared" si="11"/>
        <v/>
      </c>
      <c r="Z26" s="20" t="str">
        <f t="shared" si="12"/>
        <v/>
      </c>
      <c r="AA26" s="18"/>
      <c r="AB26" s="20" t="str">
        <f t="shared" si="13"/>
        <v/>
      </c>
    </row>
    <row r="27" ht="51.75" customHeight="1" spans="1:28">
      <c r="A27" s="15"/>
      <c r="B27" s="15"/>
      <c r="C27" s="15"/>
      <c r="D27" s="15"/>
      <c r="E27" s="15"/>
      <c r="F27" s="15"/>
      <c r="G27" s="15"/>
      <c r="H27" s="15"/>
      <c r="I27" s="16"/>
      <c r="J27" s="16"/>
      <c r="K27" s="16"/>
      <c r="L27" s="15"/>
      <c r="M27" s="17"/>
      <c r="N27" s="18" t="str">
        <f t="shared" si="0"/>
        <v>fa-home</v>
      </c>
      <c r="O27" s="18" t="str">
        <f t="shared" si="1"/>
        <v/>
      </c>
      <c r="P27" s="18" t="str">
        <f t="shared" si="2"/>
        <v/>
      </c>
      <c r="Q27" s="18" t="str">
        <f t="shared" si="3"/>
        <v/>
      </c>
      <c r="R27" s="18" t="str">
        <f t="shared" si="4"/>
        <v/>
      </c>
      <c r="S27" s="18" t="str">
        <f t="shared" si="5"/>
        <v/>
      </c>
      <c r="T27" s="18" t="str">
        <f t="shared" si="6"/>
        <v/>
      </c>
      <c r="U27" s="19" t="str">
        <f t="shared" si="7"/>
        <v/>
      </c>
      <c r="V27" s="18" t="str">
        <f t="shared" si="8"/>
        <v/>
      </c>
      <c r="W27" s="18" t="str">
        <f t="shared" si="9"/>
        <v/>
      </c>
      <c r="X27" s="18" t="str">
        <f t="shared" si="10"/>
        <v/>
      </c>
      <c r="Y27" s="20" t="str">
        <f t="shared" si="11"/>
        <v/>
      </c>
      <c r="Z27" s="20" t="str">
        <f t="shared" si="12"/>
        <v/>
      </c>
      <c r="AA27" s="18"/>
      <c r="AB27" s="20" t="str">
        <f t="shared" si="13"/>
        <v/>
      </c>
    </row>
    <row r="28" ht="51.75" customHeight="1" spans="1:28">
      <c r="A28" s="15"/>
      <c r="B28" s="15"/>
      <c r="C28" s="15"/>
      <c r="D28" s="15"/>
      <c r="E28" s="15"/>
      <c r="F28" s="15"/>
      <c r="G28" s="15"/>
      <c r="H28" s="15"/>
      <c r="I28" s="16"/>
      <c r="J28" s="16"/>
      <c r="K28" s="16"/>
      <c r="L28" s="15"/>
      <c r="M28" s="17"/>
      <c r="N28" s="18" t="str">
        <f t="shared" si="0"/>
        <v>fa-home</v>
      </c>
      <c r="O28" s="18" t="str">
        <f t="shared" si="1"/>
        <v/>
      </c>
      <c r="P28" s="18" t="str">
        <f t="shared" si="2"/>
        <v/>
      </c>
      <c r="Q28" s="18" t="str">
        <f t="shared" si="3"/>
        <v/>
      </c>
      <c r="R28" s="18" t="str">
        <f t="shared" si="4"/>
        <v/>
      </c>
      <c r="S28" s="18" t="str">
        <f t="shared" si="5"/>
        <v/>
      </c>
      <c r="T28" s="18" t="str">
        <f t="shared" si="6"/>
        <v/>
      </c>
      <c r="U28" s="19" t="str">
        <f t="shared" si="7"/>
        <v/>
      </c>
      <c r="V28" s="18" t="str">
        <f t="shared" si="8"/>
        <v/>
      </c>
      <c r="W28" s="18" t="str">
        <f t="shared" si="9"/>
        <v/>
      </c>
      <c r="X28" s="18" t="str">
        <f t="shared" si="10"/>
        <v/>
      </c>
      <c r="Y28" s="20" t="str">
        <f t="shared" si="11"/>
        <v/>
      </c>
      <c r="Z28" s="20" t="str">
        <f t="shared" si="12"/>
        <v/>
      </c>
      <c r="AA28" s="18"/>
      <c r="AB28" s="20" t="str">
        <f t="shared" si="13"/>
        <v/>
      </c>
    </row>
    <row r="29" ht="51.75" customHeight="1" spans="1:28">
      <c r="A29" s="15"/>
      <c r="B29" s="15"/>
      <c r="C29" s="15"/>
      <c r="D29" s="15"/>
      <c r="E29" s="15"/>
      <c r="F29" s="15"/>
      <c r="G29" s="15"/>
      <c r="H29" s="15"/>
      <c r="I29" s="16"/>
      <c r="J29" s="16"/>
      <c r="K29" s="16"/>
      <c r="L29" s="15"/>
      <c r="M29" s="17"/>
      <c r="N29" s="18" t="str">
        <f t="shared" si="0"/>
        <v>fa-home</v>
      </c>
      <c r="O29" s="18" t="str">
        <f t="shared" si="1"/>
        <v/>
      </c>
      <c r="P29" s="18" t="str">
        <f t="shared" si="2"/>
        <v/>
      </c>
      <c r="Q29" s="18" t="str">
        <f t="shared" si="3"/>
        <v/>
      </c>
      <c r="R29" s="18" t="str">
        <f t="shared" si="4"/>
        <v/>
      </c>
      <c r="S29" s="18" t="str">
        <f t="shared" si="5"/>
        <v/>
      </c>
      <c r="T29" s="18" t="str">
        <f t="shared" si="6"/>
        <v/>
      </c>
      <c r="U29" s="19" t="str">
        <f t="shared" si="7"/>
        <v/>
      </c>
      <c r="V29" s="18" t="str">
        <f t="shared" si="8"/>
        <v/>
      </c>
      <c r="W29" s="18" t="str">
        <f t="shared" si="9"/>
        <v/>
      </c>
      <c r="X29" s="18" t="str">
        <f t="shared" si="10"/>
        <v/>
      </c>
      <c r="Y29" s="20" t="str">
        <f t="shared" si="11"/>
        <v/>
      </c>
      <c r="Z29" s="20" t="str">
        <f t="shared" si="12"/>
        <v/>
      </c>
      <c r="AA29" s="18"/>
      <c r="AB29" s="20" t="str">
        <f t="shared" si="13"/>
        <v/>
      </c>
    </row>
    <row r="30" ht="51.75" customHeight="1" spans="1:28">
      <c r="A30" s="15"/>
      <c r="B30" s="15"/>
      <c r="C30" s="15"/>
      <c r="D30" s="15"/>
      <c r="E30" s="15"/>
      <c r="F30" s="15"/>
      <c r="G30" s="15"/>
      <c r="H30" s="15"/>
      <c r="I30" s="16"/>
      <c r="J30" s="16"/>
      <c r="K30" s="16"/>
      <c r="L30" s="15"/>
      <c r="M30" s="17"/>
      <c r="N30" s="18" t="str">
        <f t="shared" si="0"/>
        <v>fa-home</v>
      </c>
      <c r="O30" s="18" t="str">
        <f t="shared" si="1"/>
        <v/>
      </c>
      <c r="P30" s="18" t="str">
        <f t="shared" si="2"/>
        <v/>
      </c>
      <c r="Q30" s="18" t="str">
        <f t="shared" si="3"/>
        <v/>
      </c>
      <c r="R30" s="18" t="str">
        <f t="shared" si="4"/>
        <v/>
      </c>
      <c r="S30" s="18" t="str">
        <f t="shared" si="5"/>
        <v/>
      </c>
      <c r="T30" s="18" t="str">
        <f t="shared" si="6"/>
        <v/>
      </c>
      <c r="U30" s="19" t="str">
        <f t="shared" si="7"/>
        <v/>
      </c>
      <c r="V30" s="18" t="str">
        <f t="shared" si="8"/>
        <v/>
      </c>
      <c r="W30" s="18" t="str">
        <f t="shared" si="9"/>
        <v/>
      </c>
      <c r="X30" s="18" t="str">
        <f t="shared" si="10"/>
        <v/>
      </c>
      <c r="Y30" s="20" t="str">
        <f t="shared" si="11"/>
        <v/>
      </c>
      <c r="Z30" s="20" t="str">
        <f t="shared" si="12"/>
        <v/>
      </c>
      <c r="AA30" s="18"/>
      <c r="AB30" s="20" t="str">
        <f t="shared" si="13"/>
        <v/>
      </c>
    </row>
    <row r="31" ht="51.75" customHeight="1" spans="1:28">
      <c r="A31" s="15"/>
      <c r="B31" s="15"/>
      <c r="C31" s="15"/>
      <c r="D31" s="15"/>
      <c r="E31" s="15"/>
      <c r="F31" s="15"/>
      <c r="G31" s="15"/>
      <c r="H31" s="15"/>
      <c r="I31" s="16"/>
      <c r="J31" s="16"/>
      <c r="K31" s="16"/>
      <c r="L31" s="15"/>
      <c r="M31" s="17"/>
      <c r="N31" s="18" t="str">
        <f t="shared" si="0"/>
        <v>fa-home</v>
      </c>
      <c r="O31" s="18" t="str">
        <f t="shared" si="1"/>
        <v/>
      </c>
      <c r="P31" s="18" t="str">
        <f t="shared" si="2"/>
        <v/>
      </c>
      <c r="Q31" s="18" t="str">
        <f t="shared" si="3"/>
        <v/>
      </c>
      <c r="R31" s="18" t="str">
        <f t="shared" si="4"/>
        <v/>
      </c>
      <c r="S31" s="18" t="str">
        <f t="shared" si="5"/>
        <v/>
      </c>
      <c r="T31" s="18" t="str">
        <f t="shared" si="6"/>
        <v/>
      </c>
      <c r="U31" s="19" t="str">
        <f t="shared" si="7"/>
        <v/>
      </c>
      <c r="V31" s="18" t="str">
        <f t="shared" si="8"/>
        <v/>
      </c>
      <c r="W31" s="18" t="str">
        <f t="shared" si="9"/>
        <v/>
      </c>
      <c r="X31" s="18" t="str">
        <f t="shared" si="10"/>
        <v/>
      </c>
      <c r="Y31" s="20" t="str">
        <f t="shared" si="11"/>
        <v/>
      </c>
      <c r="Z31" s="20" t="str">
        <f t="shared" si="12"/>
        <v/>
      </c>
      <c r="AA31" s="18"/>
      <c r="AB31" s="20" t="str">
        <f t="shared" si="13"/>
        <v/>
      </c>
    </row>
    <row r="32" ht="51.75" customHeight="1" spans="1:28">
      <c r="A32" s="15"/>
      <c r="B32" s="15"/>
      <c r="C32" s="15"/>
      <c r="D32" s="15"/>
      <c r="E32" s="15"/>
      <c r="F32" s="15"/>
      <c r="G32" s="15"/>
      <c r="H32" s="15"/>
      <c r="I32" s="16"/>
      <c r="J32" s="16"/>
      <c r="K32" s="16"/>
      <c r="L32" s="15"/>
      <c r="M32" s="17"/>
      <c r="N32" s="18" t="str">
        <f t="shared" si="0"/>
        <v>fa-home</v>
      </c>
      <c r="O32" s="18" t="str">
        <f t="shared" si="1"/>
        <v/>
      </c>
      <c r="P32" s="18" t="str">
        <f t="shared" si="2"/>
        <v/>
      </c>
      <c r="Q32" s="18" t="str">
        <f t="shared" si="3"/>
        <v/>
      </c>
      <c r="R32" s="18" t="str">
        <f t="shared" si="4"/>
        <v/>
      </c>
      <c r="S32" s="18" t="str">
        <f t="shared" si="5"/>
        <v/>
      </c>
      <c r="T32" s="18" t="str">
        <f t="shared" si="6"/>
        <v/>
      </c>
      <c r="U32" s="19" t="str">
        <f t="shared" si="7"/>
        <v/>
      </c>
      <c r="V32" s="18" t="str">
        <f t="shared" si="8"/>
        <v/>
      </c>
      <c r="W32" s="18" t="str">
        <f t="shared" si="9"/>
        <v/>
      </c>
      <c r="X32" s="18" t="str">
        <f t="shared" si="10"/>
        <v/>
      </c>
      <c r="Y32" s="20" t="str">
        <f t="shared" si="11"/>
        <v/>
      </c>
      <c r="Z32" s="20" t="str">
        <f t="shared" si="12"/>
        <v/>
      </c>
      <c r="AA32" s="18"/>
      <c r="AB32" s="20" t="str">
        <f t="shared" si="13"/>
        <v/>
      </c>
    </row>
    <row r="33" spans="1:28">
      <c r="A33" s="15"/>
      <c r="B33" s="15"/>
      <c r="C33" s="15"/>
      <c r="D33" s="15"/>
      <c r="E33" s="15"/>
      <c r="F33" s="15"/>
      <c r="G33" s="15"/>
      <c r="H33" s="15"/>
      <c r="I33" s="16"/>
      <c r="J33" s="16"/>
      <c r="K33" s="16"/>
      <c r="L33" s="15"/>
      <c r="M33" s="17"/>
      <c r="N33" s="18" t="str">
        <f t="shared" si="0"/>
        <v>fa-home</v>
      </c>
      <c r="O33" s="18" t="str">
        <f t="shared" si="1"/>
        <v/>
      </c>
      <c r="P33" s="18" t="str">
        <f t="shared" si="2"/>
        <v/>
      </c>
      <c r="Q33" s="18" t="str">
        <f t="shared" si="3"/>
        <v/>
      </c>
      <c r="R33" s="18" t="str">
        <f t="shared" si="4"/>
        <v/>
      </c>
      <c r="S33" s="18" t="str">
        <f t="shared" si="5"/>
        <v/>
      </c>
      <c r="T33" s="18" t="str">
        <f t="shared" si="6"/>
        <v/>
      </c>
      <c r="U33" s="19" t="str">
        <f t="shared" si="7"/>
        <v/>
      </c>
      <c r="V33" s="18" t="str">
        <f t="shared" si="8"/>
        <v/>
      </c>
      <c r="W33" s="18" t="str">
        <f t="shared" si="9"/>
        <v/>
      </c>
      <c r="X33" s="18" t="str">
        <f t="shared" si="10"/>
        <v/>
      </c>
      <c r="Y33" s="20" t="str">
        <f t="shared" si="11"/>
        <v/>
      </c>
      <c r="Z33" s="20" t="str">
        <f t="shared" si="12"/>
        <v/>
      </c>
      <c r="AA33" s="18"/>
      <c r="AB33" s="20" t="str">
        <f t="shared" si="13"/>
        <v/>
      </c>
    </row>
    <row r="34" spans="1:28">
      <c r="A34" s="15"/>
      <c r="B34" s="15"/>
      <c r="C34" s="15"/>
      <c r="D34" s="15"/>
      <c r="E34" s="15"/>
      <c r="F34" s="15"/>
      <c r="G34" s="15"/>
      <c r="H34" s="15"/>
      <c r="I34" s="16"/>
      <c r="J34" s="16"/>
      <c r="K34" s="16"/>
      <c r="L34" s="15"/>
      <c r="M34" s="17"/>
      <c r="N34" s="18" t="str">
        <f t="shared" si="0"/>
        <v>fa-home</v>
      </c>
      <c r="O34" s="18" t="str">
        <f t="shared" si="1"/>
        <v/>
      </c>
      <c r="P34" s="18" t="str">
        <f t="shared" si="2"/>
        <v/>
      </c>
      <c r="Q34" s="18" t="str">
        <f t="shared" si="3"/>
        <v/>
      </c>
      <c r="R34" s="18" t="str">
        <f t="shared" si="4"/>
        <v/>
      </c>
      <c r="S34" s="18" t="str">
        <f t="shared" si="5"/>
        <v/>
      </c>
      <c r="T34" s="18" t="str">
        <f t="shared" si="6"/>
        <v/>
      </c>
      <c r="U34" s="19" t="str">
        <f t="shared" si="7"/>
        <v/>
      </c>
      <c r="V34" s="18" t="str">
        <f t="shared" si="8"/>
        <v/>
      </c>
      <c r="W34" s="18" t="str">
        <f t="shared" si="9"/>
        <v/>
      </c>
      <c r="X34" s="18" t="str">
        <f t="shared" si="10"/>
        <v/>
      </c>
      <c r="Y34" s="20" t="str">
        <f t="shared" si="11"/>
        <v/>
      </c>
      <c r="Z34" s="20" t="str">
        <f t="shared" si="12"/>
        <v/>
      </c>
      <c r="AA34" s="18"/>
      <c r="AB34" s="20" t="str">
        <f t="shared" si="13"/>
        <v/>
      </c>
    </row>
    <row r="35" spans="1:28">
      <c r="A35" s="15"/>
      <c r="B35" s="15"/>
      <c r="C35" s="15"/>
      <c r="D35" s="15"/>
      <c r="E35" s="15"/>
      <c r="F35" s="15"/>
      <c r="G35" s="15"/>
      <c r="H35" s="15"/>
      <c r="I35" s="16"/>
      <c r="J35" s="16"/>
      <c r="K35" s="16"/>
      <c r="L35" s="15"/>
      <c r="M35" s="17"/>
      <c r="N35" s="18" t="str">
        <f t="shared" si="0"/>
        <v>fa-home</v>
      </c>
      <c r="O35" s="18" t="str">
        <f t="shared" si="1"/>
        <v/>
      </c>
      <c r="P35" s="18" t="str">
        <f t="shared" si="2"/>
        <v/>
      </c>
      <c r="Q35" s="18" t="str">
        <f t="shared" si="3"/>
        <v/>
      </c>
      <c r="R35" s="18" t="str">
        <f t="shared" si="4"/>
        <v/>
      </c>
      <c r="S35" s="18" t="str">
        <f t="shared" si="5"/>
        <v/>
      </c>
      <c r="T35" s="18" t="str">
        <f t="shared" si="6"/>
        <v/>
      </c>
      <c r="U35" s="19" t="str">
        <f t="shared" si="7"/>
        <v/>
      </c>
      <c r="V35" s="18" t="str">
        <f t="shared" si="8"/>
        <v/>
      </c>
      <c r="W35" s="18" t="str">
        <f t="shared" si="9"/>
        <v/>
      </c>
      <c r="X35" s="18" t="str">
        <f t="shared" si="10"/>
        <v/>
      </c>
      <c r="Y35" s="20" t="str">
        <f t="shared" si="11"/>
        <v/>
      </c>
      <c r="Z35" s="20" t="str">
        <f t="shared" si="12"/>
        <v/>
      </c>
      <c r="AA35" s="18"/>
      <c r="AB35" s="20" t="str">
        <f t="shared" si="13"/>
        <v/>
      </c>
    </row>
    <row r="36" spans="1:28">
      <c r="A36" s="15"/>
      <c r="B36" s="15"/>
      <c r="C36" s="15"/>
      <c r="D36" s="15"/>
      <c r="E36" s="15"/>
      <c r="F36" s="15"/>
      <c r="G36" s="15"/>
      <c r="H36" s="15"/>
      <c r="I36" s="16"/>
      <c r="J36" s="16"/>
      <c r="K36" s="16"/>
      <c r="L36" s="15"/>
      <c r="M36" s="17"/>
      <c r="N36" s="18" t="str">
        <f t="shared" si="0"/>
        <v>fa-home</v>
      </c>
      <c r="O36" s="18" t="str">
        <f t="shared" si="1"/>
        <v/>
      </c>
      <c r="P36" s="18" t="str">
        <f t="shared" si="2"/>
        <v/>
      </c>
      <c r="Q36" s="18" t="str">
        <f t="shared" si="3"/>
        <v/>
      </c>
      <c r="R36" s="18" t="str">
        <f t="shared" si="4"/>
        <v/>
      </c>
      <c r="S36" s="18" t="str">
        <f t="shared" si="5"/>
        <v/>
      </c>
      <c r="T36" s="18" t="str">
        <f t="shared" si="6"/>
        <v/>
      </c>
      <c r="U36" s="19" t="str">
        <f t="shared" si="7"/>
        <v/>
      </c>
      <c r="V36" s="18" t="str">
        <f t="shared" si="8"/>
        <v/>
      </c>
      <c r="W36" s="18" t="str">
        <f t="shared" si="9"/>
        <v/>
      </c>
      <c r="X36" s="18" t="str">
        <f t="shared" si="10"/>
        <v/>
      </c>
      <c r="Y36" s="20" t="str">
        <f t="shared" si="11"/>
        <v/>
      </c>
      <c r="Z36" s="20" t="str">
        <f t="shared" si="12"/>
        <v/>
      </c>
      <c r="AA36" s="18"/>
      <c r="AB36" s="20" t="str">
        <f t="shared" si="13"/>
        <v/>
      </c>
    </row>
    <row r="37" spans="1:28">
      <c r="A37" s="15"/>
      <c r="B37" s="15"/>
      <c r="C37" s="15"/>
      <c r="D37" s="15"/>
      <c r="E37" s="15"/>
      <c r="F37" s="15"/>
      <c r="G37" s="15"/>
      <c r="H37" s="15"/>
      <c r="I37" s="16"/>
      <c r="J37" s="16"/>
      <c r="K37" s="16"/>
      <c r="L37" s="15"/>
      <c r="M37" s="17"/>
      <c r="N37" s="18" t="str">
        <f t="shared" si="0"/>
        <v>fa-home</v>
      </c>
      <c r="O37" s="18" t="str">
        <f t="shared" si="1"/>
        <v/>
      </c>
      <c r="P37" s="18" t="str">
        <f t="shared" si="2"/>
        <v/>
      </c>
      <c r="Q37" s="18" t="str">
        <f t="shared" si="3"/>
        <v/>
      </c>
      <c r="R37" s="18" t="str">
        <f t="shared" si="4"/>
        <v/>
      </c>
      <c r="S37" s="18" t="str">
        <f t="shared" si="5"/>
        <v/>
      </c>
      <c r="T37" s="18" t="str">
        <f t="shared" si="6"/>
        <v/>
      </c>
      <c r="U37" s="19" t="str">
        <f t="shared" si="7"/>
        <v/>
      </c>
      <c r="V37" s="18" t="str">
        <f t="shared" si="8"/>
        <v/>
      </c>
      <c r="W37" s="18" t="str">
        <f t="shared" si="9"/>
        <v/>
      </c>
      <c r="X37" s="18" t="str">
        <f t="shared" si="10"/>
        <v/>
      </c>
      <c r="Y37" s="20" t="str">
        <f t="shared" si="11"/>
        <v/>
      </c>
      <c r="Z37" s="20" t="str">
        <f t="shared" si="12"/>
        <v/>
      </c>
      <c r="AA37" s="18"/>
      <c r="AB37" s="20" t="str">
        <f t="shared" si="13"/>
        <v/>
      </c>
    </row>
    <row r="38" spans="1:28">
      <c r="A38" s="15"/>
      <c r="B38" s="15"/>
      <c r="C38" s="15"/>
      <c r="D38" s="15"/>
      <c r="E38" s="15"/>
      <c r="F38" s="15"/>
      <c r="G38" s="15"/>
      <c r="H38" s="15"/>
      <c r="I38" s="16"/>
      <c r="J38" s="16"/>
      <c r="K38" s="16"/>
      <c r="L38" s="15"/>
      <c r="M38" s="17"/>
      <c r="N38" s="18" t="str">
        <f t="shared" si="0"/>
        <v>fa-home</v>
      </c>
      <c r="O38" s="18" t="str">
        <f t="shared" si="1"/>
        <v/>
      </c>
      <c r="P38" s="18" t="str">
        <f t="shared" si="2"/>
        <v/>
      </c>
      <c r="Q38" s="18" t="str">
        <f t="shared" si="3"/>
        <v/>
      </c>
      <c r="R38" s="18" t="str">
        <f t="shared" si="4"/>
        <v/>
      </c>
      <c r="S38" s="18" t="str">
        <f t="shared" si="5"/>
        <v/>
      </c>
      <c r="T38" s="18" t="str">
        <f t="shared" si="6"/>
        <v/>
      </c>
      <c r="U38" s="19" t="str">
        <f t="shared" si="7"/>
        <v/>
      </c>
      <c r="V38" s="18" t="str">
        <f t="shared" si="8"/>
        <v/>
      </c>
      <c r="W38" s="18" t="str">
        <f t="shared" si="9"/>
        <v/>
      </c>
      <c r="X38" s="18" t="str">
        <f t="shared" si="10"/>
        <v/>
      </c>
      <c r="Y38" s="20" t="str">
        <f t="shared" si="11"/>
        <v/>
      </c>
      <c r="Z38" s="20" t="str">
        <f t="shared" si="12"/>
        <v/>
      </c>
      <c r="AA38" s="18"/>
      <c r="AB38" s="20" t="str">
        <f t="shared" si="13"/>
        <v/>
      </c>
    </row>
    <row r="39" spans="1:28">
      <c r="A39" s="15"/>
      <c r="B39" s="15"/>
      <c r="C39" s="15"/>
      <c r="D39" s="15"/>
      <c r="E39" s="15"/>
      <c r="F39" s="15"/>
      <c r="G39" s="15"/>
      <c r="H39" s="15"/>
      <c r="I39" s="16"/>
      <c r="J39" s="16"/>
      <c r="K39" s="16"/>
      <c r="L39" s="15"/>
      <c r="M39" s="17"/>
      <c r="N39" s="18" t="str">
        <f t="shared" si="0"/>
        <v>fa-home</v>
      </c>
      <c r="O39" s="18" t="str">
        <f t="shared" si="1"/>
        <v/>
      </c>
      <c r="P39" s="18" t="str">
        <f t="shared" si="2"/>
        <v/>
      </c>
      <c r="Q39" s="18" t="str">
        <f t="shared" si="3"/>
        <v/>
      </c>
      <c r="R39" s="18" t="str">
        <f t="shared" si="4"/>
        <v/>
      </c>
      <c r="S39" s="18" t="str">
        <f t="shared" si="5"/>
        <v/>
      </c>
      <c r="T39" s="18" t="str">
        <f t="shared" si="6"/>
        <v/>
      </c>
      <c r="U39" s="19" t="str">
        <f t="shared" si="7"/>
        <v/>
      </c>
      <c r="V39" s="18" t="str">
        <f t="shared" si="8"/>
        <v/>
      </c>
      <c r="W39" s="18" t="str">
        <f t="shared" si="9"/>
        <v/>
      </c>
      <c r="X39" s="18" t="str">
        <f t="shared" si="10"/>
        <v/>
      </c>
      <c r="Y39" s="20" t="str">
        <f t="shared" si="11"/>
        <v/>
      </c>
      <c r="Z39" s="20" t="str">
        <f t="shared" si="12"/>
        <v/>
      </c>
      <c r="AA39" s="18"/>
      <c r="AB39" s="20" t="str">
        <f t="shared" si="13"/>
        <v/>
      </c>
    </row>
    <row r="40" spans="1:28">
      <c r="A40" s="15"/>
      <c r="B40" s="15"/>
      <c r="C40" s="15"/>
      <c r="D40" s="15"/>
      <c r="E40" s="15"/>
      <c r="F40" s="15"/>
      <c r="G40" s="15"/>
      <c r="H40" s="15"/>
      <c r="I40" s="16"/>
      <c r="J40" s="16"/>
      <c r="K40" s="16"/>
      <c r="L40" s="15"/>
      <c r="M40" s="17"/>
      <c r="N40" s="18" t="str">
        <f t="shared" si="0"/>
        <v>fa-home</v>
      </c>
      <c r="O40" s="18" t="str">
        <f t="shared" si="1"/>
        <v/>
      </c>
      <c r="P40" s="18" t="str">
        <f t="shared" si="2"/>
        <v/>
      </c>
      <c r="Q40" s="18" t="str">
        <f t="shared" si="3"/>
        <v/>
      </c>
      <c r="R40" s="18" t="str">
        <f t="shared" si="4"/>
        <v/>
      </c>
      <c r="S40" s="18" t="str">
        <f t="shared" si="5"/>
        <v/>
      </c>
      <c r="T40" s="18" t="str">
        <f t="shared" si="6"/>
        <v/>
      </c>
      <c r="U40" s="19" t="str">
        <f t="shared" si="7"/>
        <v/>
      </c>
      <c r="V40" s="18" t="str">
        <f t="shared" si="8"/>
        <v/>
      </c>
      <c r="W40" s="18" t="str">
        <f t="shared" si="9"/>
        <v/>
      </c>
      <c r="X40" s="18" t="str">
        <f t="shared" si="10"/>
        <v/>
      </c>
      <c r="Y40" s="20" t="str">
        <f t="shared" si="11"/>
        <v/>
      </c>
      <c r="Z40" s="20" t="str">
        <f t="shared" si="12"/>
        <v/>
      </c>
      <c r="AA40" s="18"/>
      <c r="AB40" s="20" t="str">
        <f t="shared" si="13"/>
        <v/>
      </c>
    </row>
    <row r="41" spans="1:28">
      <c r="A41" s="15"/>
      <c r="B41" s="15"/>
      <c r="C41" s="15"/>
      <c r="D41" s="15"/>
      <c r="E41" s="15"/>
      <c r="F41" s="15"/>
      <c r="G41" s="15"/>
      <c r="H41" s="15"/>
      <c r="I41" s="16"/>
      <c r="J41" s="16"/>
      <c r="K41" s="16"/>
      <c r="L41" s="15"/>
      <c r="M41" s="17"/>
      <c r="N41" s="18" t="str">
        <f t="shared" si="0"/>
        <v>fa-home</v>
      </c>
      <c r="O41" s="18" t="str">
        <f t="shared" si="1"/>
        <v/>
      </c>
      <c r="P41" s="18" t="str">
        <f t="shared" si="2"/>
        <v/>
      </c>
      <c r="Q41" s="18" t="str">
        <f t="shared" si="3"/>
        <v/>
      </c>
      <c r="R41" s="18" t="str">
        <f t="shared" si="4"/>
        <v/>
      </c>
      <c r="S41" s="18" t="str">
        <f t="shared" si="5"/>
        <v/>
      </c>
      <c r="T41" s="18" t="str">
        <f t="shared" si="6"/>
        <v/>
      </c>
      <c r="U41" s="19" t="str">
        <f t="shared" si="7"/>
        <v/>
      </c>
      <c r="V41" s="18" t="str">
        <f t="shared" si="8"/>
        <v/>
      </c>
      <c r="W41" s="18" t="str">
        <f t="shared" si="9"/>
        <v/>
      </c>
      <c r="X41" s="18" t="str">
        <f t="shared" si="10"/>
        <v/>
      </c>
      <c r="Y41" s="20" t="str">
        <f t="shared" si="11"/>
        <v/>
      </c>
      <c r="Z41" s="20" t="str">
        <f t="shared" si="12"/>
        <v/>
      </c>
      <c r="AA41" s="18"/>
      <c r="AB41" s="20" t="str">
        <f t="shared" si="13"/>
        <v/>
      </c>
    </row>
    <row r="42" spans="1:28">
      <c r="A42" s="15"/>
      <c r="B42" s="15"/>
      <c r="C42" s="15"/>
      <c r="D42" s="15"/>
      <c r="E42" s="15"/>
      <c r="F42" s="15"/>
      <c r="G42" s="15"/>
      <c r="H42" s="15"/>
      <c r="I42" s="16"/>
      <c r="J42" s="16"/>
      <c r="K42" s="16"/>
      <c r="L42" s="15"/>
      <c r="M42" s="17"/>
      <c r="N42" s="18" t="str">
        <f t="shared" si="0"/>
        <v>fa-home</v>
      </c>
      <c r="O42" s="18" t="str">
        <f t="shared" si="1"/>
        <v/>
      </c>
      <c r="P42" s="18" t="str">
        <f t="shared" si="2"/>
        <v/>
      </c>
      <c r="Q42" s="18" t="str">
        <f t="shared" si="3"/>
        <v/>
      </c>
      <c r="R42" s="18" t="str">
        <f t="shared" si="4"/>
        <v/>
      </c>
      <c r="S42" s="18" t="str">
        <f t="shared" si="5"/>
        <v/>
      </c>
      <c r="T42" s="18" t="str">
        <f t="shared" si="6"/>
        <v/>
      </c>
      <c r="U42" s="19" t="str">
        <f t="shared" si="7"/>
        <v/>
      </c>
      <c r="V42" s="18" t="str">
        <f t="shared" si="8"/>
        <v/>
      </c>
      <c r="W42" s="18" t="str">
        <f t="shared" si="9"/>
        <v/>
      </c>
      <c r="X42" s="18" t="str">
        <f t="shared" si="10"/>
        <v/>
      </c>
      <c r="Y42" s="20" t="str">
        <f t="shared" si="11"/>
        <v/>
      </c>
      <c r="Z42" s="20" t="str">
        <f t="shared" si="12"/>
        <v/>
      </c>
      <c r="AA42" s="18"/>
      <c r="AB42" s="20" t="str">
        <f t="shared" si="13"/>
        <v/>
      </c>
    </row>
    <row r="43" spans="1:28">
      <c r="A43" s="15"/>
      <c r="B43" s="15"/>
      <c r="C43" s="15"/>
      <c r="D43" s="15"/>
      <c r="E43" s="15"/>
      <c r="F43" s="15"/>
      <c r="G43" s="15"/>
      <c r="H43" s="15"/>
      <c r="I43" s="16"/>
      <c r="J43" s="16"/>
      <c r="K43" s="16"/>
      <c r="L43" s="15"/>
      <c r="M43" s="17"/>
      <c r="N43" s="18" t="str">
        <f t="shared" si="0"/>
        <v>fa-home</v>
      </c>
      <c r="O43" s="18" t="str">
        <f t="shared" si="1"/>
        <v/>
      </c>
      <c r="P43" s="18" t="str">
        <f t="shared" si="2"/>
        <v/>
      </c>
      <c r="Q43" s="18" t="str">
        <f t="shared" si="3"/>
        <v/>
      </c>
      <c r="R43" s="18" t="str">
        <f t="shared" si="4"/>
        <v/>
      </c>
      <c r="S43" s="18" t="str">
        <f t="shared" si="5"/>
        <v/>
      </c>
      <c r="T43" s="18" t="str">
        <f t="shared" si="6"/>
        <v/>
      </c>
      <c r="U43" s="19" t="str">
        <f t="shared" si="7"/>
        <v/>
      </c>
      <c r="V43" s="18" t="str">
        <f t="shared" si="8"/>
        <v/>
      </c>
      <c r="W43" s="18" t="str">
        <f t="shared" si="9"/>
        <v/>
      </c>
      <c r="X43" s="18" t="str">
        <f t="shared" si="10"/>
        <v/>
      </c>
      <c r="Y43" s="20" t="str">
        <f t="shared" si="11"/>
        <v/>
      </c>
      <c r="Z43" s="20" t="str">
        <f t="shared" si="12"/>
        <v/>
      </c>
      <c r="AA43" s="18"/>
      <c r="AB43" s="20" t="str">
        <f t="shared" si="13"/>
        <v/>
      </c>
    </row>
    <row r="44" spans="1:28">
      <c r="A44" s="15"/>
      <c r="B44" s="15"/>
      <c r="C44" s="15"/>
      <c r="D44" s="15"/>
      <c r="E44" s="15"/>
      <c r="F44" s="15"/>
      <c r="G44" s="15"/>
      <c r="H44" s="15"/>
      <c r="I44" s="16"/>
      <c r="J44" s="16"/>
      <c r="K44" s="16"/>
      <c r="L44" s="15"/>
      <c r="M44" s="17"/>
      <c r="N44" s="18" t="str">
        <f t="shared" si="0"/>
        <v>fa-home</v>
      </c>
      <c r="O44" s="18" t="str">
        <f t="shared" si="1"/>
        <v/>
      </c>
      <c r="P44" s="18" t="str">
        <f t="shared" si="2"/>
        <v/>
      </c>
      <c r="Q44" s="18" t="str">
        <f t="shared" si="3"/>
        <v/>
      </c>
      <c r="R44" s="18" t="str">
        <f t="shared" si="4"/>
        <v/>
      </c>
      <c r="S44" s="18" t="str">
        <f t="shared" si="5"/>
        <v/>
      </c>
      <c r="T44" s="18" t="str">
        <f t="shared" si="6"/>
        <v/>
      </c>
      <c r="U44" s="19" t="str">
        <f t="shared" si="7"/>
        <v/>
      </c>
      <c r="V44" s="18" t="str">
        <f t="shared" si="8"/>
        <v/>
      </c>
      <c r="W44" s="18" t="str">
        <f t="shared" si="9"/>
        <v/>
      </c>
      <c r="X44" s="18" t="str">
        <f t="shared" si="10"/>
        <v/>
      </c>
      <c r="Y44" s="20" t="str">
        <f t="shared" si="11"/>
        <v/>
      </c>
      <c r="Z44" s="20" t="str">
        <f t="shared" si="12"/>
        <v/>
      </c>
      <c r="AA44" s="18"/>
      <c r="AB44" s="20" t="str">
        <f t="shared" si="13"/>
        <v/>
      </c>
    </row>
    <row r="45" spans="1:28">
      <c r="A45" s="15"/>
      <c r="B45" s="15"/>
      <c r="C45" s="15"/>
      <c r="D45" s="15"/>
      <c r="E45" s="15"/>
      <c r="F45" s="15"/>
      <c r="G45" s="15"/>
      <c r="H45" s="15"/>
      <c r="I45" s="16"/>
      <c r="J45" s="16"/>
      <c r="K45" s="16"/>
      <c r="L45" s="15"/>
      <c r="M45" s="17"/>
      <c r="N45" s="18" t="str">
        <f t="shared" si="0"/>
        <v>fa-home</v>
      </c>
      <c r="O45" s="18" t="str">
        <f t="shared" si="1"/>
        <v/>
      </c>
      <c r="P45" s="18" t="str">
        <f t="shared" si="2"/>
        <v/>
      </c>
      <c r="Q45" s="18" t="str">
        <f t="shared" si="3"/>
        <v/>
      </c>
      <c r="R45" s="18" t="str">
        <f t="shared" si="4"/>
        <v/>
      </c>
      <c r="S45" s="18" t="str">
        <f t="shared" si="5"/>
        <v/>
      </c>
      <c r="T45" s="18" t="str">
        <f t="shared" si="6"/>
        <v/>
      </c>
      <c r="U45" s="19" t="str">
        <f t="shared" si="7"/>
        <v/>
      </c>
      <c r="V45" s="18" t="str">
        <f t="shared" si="8"/>
        <v/>
      </c>
      <c r="W45" s="18" t="str">
        <f t="shared" si="9"/>
        <v/>
      </c>
      <c r="X45" s="18" t="str">
        <f t="shared" si="10"/>
        <v/>
      </c>
      <c r="Y45" s="20" t="str">
        <f t="shared" si="11"/>
        <v/>
      </c>
      <c r="Z45" s="20" t="str">
        <f t="shared" si="12"/>
        <v/>
      </c>
      <c r="AA45" s="18"/>
      <c r="AB45" s="20" t="str">
        <f t="shared" si="13"/>
        <v/>
      </c>
    </row>
    <row r="46" spans="1:28">
      <c r="A46" s="15"/>
      <c r="B46" s="15"/>
      <c r="C46" s="15"/>
      <c r="D46" s="15"/>
      <c r="E46" s="15"/>
      <c r="F46" s="15"/>
      <c r="G46" s="15"/>
      <c r="H46" s="15"/>
      <c r="I46" s="16"/>
      <c r="J46" s="16"/>
      <c r="K46" s="16"/>
      <c r="L46" s="15"/>
      <c r="M46" s="17"/>
      <c r="N46" s="18" t="str">
        <f t="shared" si="0"/>
        <v>fa-home</v>
      </c>
      <c r="O46" s="18" t="str">
        <f t="shared" si="1"/>
        <v/>
      </c>
      <c r="P46" s="18" t="str">
        <f t="shared" si="2"/>
        <v/>
      </c>
      <c r="Q46" s="18" t="str">
        <f t="shared" si="3"/>
        <v/>
      </c>
      <c r="R46" s="18" t="str">
        <f t="shared" si="4"/>
        <v/>
      </c>
      <c r="S46" s="18" t="str">
        <f t="shared" si="5"/>
        <v/>
      </c>
      <c r="T46" s="18" t="str">
        <f t="shared" si="6"/>
        <v/>
      </c>
      <c r="U46" s="19" t="str">
        <f t="shared" si="7"/>
        <v/>
      </c>
      <c r="V46" s="18" t="str">
        <f t="shared" si="8"/>
        <v/>
      </c>
      <c r="W46" s="18" t="str">
        <f t="shared" si="9"/>
        <v/>
      </c>
      <c r="X46" s="18" t="str">
        <f t="shared" si="10"/>
        <v/>
      </c>
      <c r="Y46" s="20" t="str">
        <f t="shared" si="11"/>
        <v/>
      </c>
      <c r="Z46" s="20" t="str">
        <f t="shared" si="12"/>
        <v/>
      </c>
      <c r="AA46" s="18"/>
      <c r="AB46" s="20" t="str">
        <f t="shared" si="13"/>
        <v/>
      </c>
    </row>
    <row r="47" spans="1:28">
      <c r="A47" s="15"/>
      <c r="B47" s="15"/>
      <c r="C47" s="15"/>
      <c r="D47" s="15"/>
      <c r="E47" s="15"/>
      <c r="F47" s="15"/>
      <c r="G47" s="15"/>
      <c r="H47" s="15"/>
      <c r="I47" s="16"/>
      <c r="J47" s="16"/>
      <c r="K47" s="16"/>
      <c r="L47" s="15"/>
      <c r="M47" s="17"/>
      <c r="N47" s="18" t="str">
        <f t="shared" si="0"/>
        <v>fa-home</v>
      </c>
      <c r="O47" s="18" t="str">
        <f t="shared" si="1"/>
        <v/>
      </c>
      <c r="P47" s="18" t="str">
        <f t="shared" si="2"/>
        <v/>
      </c>
      <c r="Q47" s="18" t="str">
        <f t="shared" si="3"/>
        <v/>
      </c>
      <c r="R47" s="18" t="str">
        <f t="shared" si="4"/>
        <v/>
      </c>
      <c r="S47" s="18" t="str">
        <f t="shared" si="5"/>
        <v/>
      </c>
      <c r="T47" s="18" t="str">
        <f t="shared" si="6"/>
        <v/>
      </c>
      <c r="U47" s="19" t="str">
        <f t="shared" si="7"/>
        <v/>
      </c>
      <c r="V47" s="18" t="str">
        <f t="shared" si="8"/>
        <v/>
      </c>
      <c r="W47" s="18" t="str">
        <f t="shared" si="9"/>
        <v/>
      </c>
      <c r="X47" s="18" t="str">
        <f t="shared" si="10"/>
        <v/>
      </c>
      <c r="Y47" s="20" t="str">
        <f t="shared" si="11"/>
        <v/>
      </c>
      <c r="Z47" s="20" t="str">
        <f t="shared" si="12"/>
        <v/>
      </c>
      <c r="AA47" s="18"/>
      <c r="AB47" s="20" t="str">
        <f t="shared" si="13"/>
        <v/>
      </c>
    </row>
    <row r="48" spans="1:28">
      <c r="A48" s="15"/>
      <c r="B48" s="15"/>
      <c r="C48" s="15"/>
      <c r="D48" s="15"/>
      <c r="E48" s="15"/>
      <c r="F48" s="15"/>
      <c r="G48" s="15"/>
      <c r="H48" s="15"/>
      <c r="I48" s="16"/>
      <c r="J48" s="16"/>
      <c r="K48" s="16"/>
      <c r="L48" s="15"/>
      <c r="M48" s="17"/>
      <c r="N48" s="18" t="str">
        <f t="shared" si="0"/>
        <v>fa-home</v>
      </c>
      <c r="O48" s="18" t="str">
        <f t="shared" si="1"/>
        <v/>
      </c>
      <c r="P48" s="18" t="str">
        <f t="shared" si="2"/>
        <v/>
      </c>
      <c r="Q48" s="18" t="str">
        <f t="shared" si="3"/>
        <v/>
      </c>
      <c r="R48" s="18" t="str">
        <f t="shared" si="4"/>
        <v/>
      </c>
      <c r="S48" s="18" t="str">
        <f t="shared" si="5"/>
        <v/>
      </c>
      <c r="T48" s="18" t="str">
        <f t="shared" si="6"/>
        <v/>
      </c>
      <c r="U48" s="19" t="str">
        <f t="shared" si="7"/>
        <v/>
      </c>
      <c r="V48" s="18" t="str">
        <f t="shared" si="8"/>
        <v/>
      </c>
      <c r="W48" s="18" t="str">
        <f t="shared" si="9"/>
        <v/>
      </c>
      <c r="X48" s="18" t="str">
        <f t="shared" si="10"/>
        <v/>
      </c>
      <c r="Y48" s="20" t="str">
        <f t="shared" si="11"/>
        <v/>
      </c>
      <c r="Z48" s="20" t="str">
        <f t="shared" si="12"/>
        <v/>
      </c>
      <c r="AA48" s="18"/>
      <c r="AB48" s="20" t="str">
        <f t="shared" si="13"/>
        <v/>
      </c>
    </row>
    <row r="49" spans="1:28">
      <c r="A49" s="15"/>
      <c r="B49" s="15"/>
      <c r="C49" s="15"/>
      <c r="D49" s="15"/>
      <c r="E49" s="15"/>
      <c r="F49" s="15"/>
      <c r="G49" s="15"/>
      <c r="H49" s="15"/>
      <c r="I49" s="16"/>
      <c r="J49" s="16"/>
      <c r="K49" s="16"/>
      <c r="L49" s="15"/>
      <c r="M49" s="17"/>
      <c r="N49" s="18" t="str">
        <f t="shared" si="0"/>
        <v>fa-home</v>
      </c>
      <c r="O49" s="18" t="str">
        <f t="shared" si="1"/>
        <v/>
      </c>
      <c r="P49" s="18" t="str">
        <f t="shared" si="2"/>
        <v/>
      </c>
      <c r="Q49" s="18" t="str">
        <f t="shared" si="3"/>
        <v/>
      </c>
      <c r="R49" s="18" t="str">
        <f t="shared" si="4"/>
        <v/>
      </c>
      <c r="S49" s="18" t="str">
        <f t="shared" si="5"/>
        <v/>
      </c>
      <c r="T49" s="18" t="str">
        <f t="shared" si="6"/>
        <v/>
      </c>
      <c r="U49" s="19" t="str">
        <f t="shared" si="7"/>
        <v/>
      </c>
      <c r="V49" s="18" t="str">
        <f t="shared" si="8"/>
        <v/>
      </c>
      <c r="W49" s="18" t="str">
        <f t="shared" si="9"/>
        <v/>
      </c>
      <c r="X49" s="18" t="str">
        <f t="shared" si="10"/>
        <v/>
      </c>
      <c r="Y49" s="20" t="str">
        <f t="shared" si="11"/>
        <v/>
      </c>
      <c r="Z49" s="20" t="str">
        <f t="shared" si="12"/>
        <v/>
      </c>
      <c r="AA49" s="18"/>
      <c r="AB49" s="20" t="str">
        <f t="shared" si="13"/>
        <v/>
      </c>
    </row>
    <row r="50" spans="1:28">
      <c r="A50" s="15"/>
      <c r="B50" s="15"/>
      <c r="C50" s="15"/>
      <c r="D50" s="15"/>
      <c r="E50" s="15"/>
      <c r="F50" s="15"/>
      <c r="G50" s="15"/>
      <c r="H50" s="15"/>
      <c r="I50" s="16"/>
      <c r="J50" s="16"/>
      <c r="K50" s="16"/>
      <c r="L50" s="15"/>
      <c r="M50" s="17"/>
      <c r="N50" s="18" t="str">
        <f t="shared" si="0"/>
        <v>fa-home</v>
      </c>
      <c r="O50" s="18" t="str">
        <f t="shared" si="1"/>
        <v/>
      </c>
      <c r="P50" s="18" t="str">
        <f t="shared" si="2"/>
        <v/>
      </c>
      <c r="Q50" s="18" t="str">
        <f t="shared" si="3"/>
        <v/>
      </c>
      <c r="R50" s="18" t="str">
        <f t="shared" si="4"/>
        <v/>
      </c>
      <c r="S50" s="18" t="str">
        <f t="shared" si="5"/>
        <v/>
      </c>
      <c r="T50" s="18" t="str">
        <f t="shared" si="6"/>
        <v/>
      </c>
      <c r="U50" s="19" t="str">
        <f t="shared" si="7"/>
        <v/>
      </c>
      <c r="V50" s="18" t="str">
        <f t="shared" si="8"/>
        <v/>
      </c>
      <c r="W50" s="18" t="str">
        <f t="shared" si="9"/>
        <v/>
      </c>
      <c r="X50" s="18" t="str">
        <f t="shared" si="10"/>
        <v/>
      </c>
      <c r="Y50" s="20" t="str">
        <f t="shared" si="11"/>
        <v/>
      </c>
      <c r="Z50" s="20" t="str">
        <f t="shared" si="12"/>
        <v/>
      </c>
      <c r="AA50" s="18"/>
      <c r="AB50" s="20" t="str">
        <f t="shared" si="13"/>
        <v/>
      </c>
    </row>
    <row r="51" spans="1:28">
      <c r="A51" s="15"/>
      <c r="B51" s="15"/>
      <c r="C51" s="15"/>
      <c r="D51" s="15"/>
      <c r="E51" s="15"/>
      <c r="F51" s="15"/>
      <c r="G51" s="15"/>
      <c r="H51" s="15"/>
      <c r="I51" s="16"/>
      <c r="J51" s="16"/>
      <c r="K51" s="16"/>
      <c r="L51" s="15"/>
      <c r="M51" s="17"/>
      <c r="N51" s="18" t="str">
        <f t="shared" si="0"/>
        <v>fa-home</v>
      </c>
      <c r="O51" s="18" t="str">
        <f t="shared" si="1"/>
        <v/>
      </c>
      <c r="P51" s="18" t="str">
        <f t="shared" si="2"/>
        <v/>
      </c>
      <c r="Q51" s="18" t="str">
        <f t="shared" si="3"/>
        <v/>
      </c>
      <c r="R51" s="18" t="str">
        <f t="shared" si="4"/>
        <v/>
      </c>
      <c r="S51" s="18" t="str">
        <f t="shared" si="5"/>
        <v/>
      </c>
      <c r="T51" s="18" t="str">
        <f t="shared" si="6"/>
        <v/>
      </c>
      <c r="U51" s="19" t="str">
        <f t="shared" si="7"/>
        <v/>
      </c>
      <c r="V51" s="18" t="str">
        <f t="shared" si="8"/>
        <v/>
      </c>
      <c r="W51" s="18" t="str">
        <f t="shared" si="9"/>
        <v/>
      </c>
      <c r="X51" s="18" t="str">
        <f t="shared" si="10"/>
        <v/>
      </c>
      <c r="Y51" s="20" t="str">
        <f t="shared" si="11"/>
        <v/>
      </c>
      <c r="Z51" s="20" t="str">
        <f t="shared" si="12"/>
        <v/>
      </c>
      <c r="AA51" s="18"/>
      <c r="AB51" s="20" t="str">
        <f t="shared" si="13"/>
        <v/>
      </c>
    </row>
    <row r="52" spans="1:28">
      <c r="A52" s="15"/>
      <c r="B52" s="15"/>
      <c r="C52" s="15"/>
      <c r="D52" s="15"/>
      <c r="E52" s="15"/>
      <c r="F52" s="15"/>
      <c r="G52" s="15"/>
      <c r="H52" s="15"/>
      <c r="I52" s="16"/>
      <c r="J52" s="16"/>
      <c r="K52" s="16"/>
      <c r="L52" s="15"/>
      <c r="M52" s="17"/>
      <c r="N52" s="18" t="str">
        <f t="shared" si="0"/>
        <v>fa-home</v>
      </c>
      <c r="O52" s="18" t="str">
        <f t="shared" si="1"/>
        <v/>
      </c>
      <c r="P52" s="18" t="str">
        <f t="shared" si="2"/>
        <v/>
      </c>
      <c r="Q52" s="18" t="str">
        <f t="shared" si="3"/>
        <v/>
      </c>
      <c r="R52" s="18" t="str">
        <f t="shared" si="4"/>
        <v/>
      </c>
      <c r="S52" s="18" t="str">
        <f t="shared" si="5"/>
        <v/>
      </c>
      <c r="T52" s="18" t="str">
        <f t="shared" si="6"/>
        <v/>
      </c>
      <c r="U52" s="19" t="str">
        <f t="shared" si="7"/>
        <v/>
      </c>
      <c r="V52" s="18" t="str">
        <f t="shared" si="8"/>
        <v/>
      </c>
      <c r="W52" s="18" t="str">
        <f t="shared" si="9"/>
        <v/>
      </c>
      <c r="X52" s="18" t="str">
        <f t="shared" si="10"/>
        <v/>
      </c>
      <c r="Y52" s="20" t="str">
        <f t="shared" si="11"/>
        <v/>
      </c>
      <c r="Z52" s="20" t="str">
        <f t="shared" si="12"/>
        <v/>
      </c>
      <c r="AA52" s="18"/>
      <c r="AB52" s="20" t="str">
        <f t="shared" si="13"/>
        <v/>
      </c>
    </row>
    <row r="53" spans="1:28">
      <c r="A53" s="15"/>
      <c r="B53" s="15"/>
      <c r="C53" s="15"/>
      <c r="D53" s="15"/>
      <c r="E53" s="15"/>
      <c r="F53" s="15"/>
      <c r="G53" s="15"/>
      <c r="H53" s="15"/>
      <c r="I53" s="16"/>
      <c r="J53" s="16"/>
      <c r="K53" s="16"/>
      <c r="L53" s="15"/>
      <c r="M53" s="17"/>
      <c r="N53" s="18" t="str">
        <f t="shared" si="0"/>
        <v>fa-home</v>
      </c>
      <c r="O53" s="18" t="str">
        <f t="shared" si="1"/>
        <v/>
      </c>
      <c r="P53" s="18" t="str">
        <f t="shared" si="2"/>
        <v/>
      </c>
      <c r="Q53" s="18" t="str">
        <f t="shared" si="3"/>
        <v/>
      </c>
      <c r="R53" s="18" t="str">
        <f t="shared" si="4"/>
        <v/>
      </c>
      <c r="S53" s="18" t="str">
        <f t="shared" si="5"/>
        <v/>
      </c>
      <c r="T53" s="18" t="str">
        <f t="shared" si="6"/>
        <v/>
      </c>
      <c r="U53" s="19" t="str">
        <f t="shared" si="7"/>
        <v/>
      </c>
      <c r="V53" s="18" t="str">
        <f t="shared" si="8"/>
        <v/>
      </c>
      <c r="W53" s="18" t="str">
        <f t="shared" si="9"/>
        <v/>
      </c>
      <c r="X53" s="18" t="str">
        <f t="shared" si="10"/>
        <v/>
      </c>
      <c r="Y53" s="20" t="str">
        <f t="shared" si="11"/>
        <v/>
      </c>
      <c r="Z53" s="20" t="str">
        <f t="shared" si="12"/>
        <v/>
      </c>
      <c r="AA53" s="18"/>
      <c r="AB53" s="20" t="str">
        <f t="shared" si="13"/>
        <v/>
      </c>
    </row>
    <row r="54" spans="1:28">
      <c r="A54" s="15"/>
      <c r="B54" s="15"/>
      <c r="C54" s="15"/>
      <c r="D54" s="15"/>
      <c r="E54" s="15"/>
      <c r="F54" s="15"/>
      <c r="G54" s="15"/>
      <c r="H54" s="15"/>
      <c r="I54" s="16"/>
      <c r="J54" s="16"/>
      <c r="K54" s="16"/>
      <c r="L54" s="15"/>
      <c r="M54" s="17"/>
      <c r="N54" s="18" t="str">
        <f t="shared" si="0"/>
        <v>fa-home</v>
      </c>
      <c r="O54" s="18" t="str">
        <f t="shared" si="1"/>
        <v/>
      </c>
      <c r="P54" s="18" t="str">
        <f t="shared" si="2"/>
        <v/>
      </c>
      <c r="Q54" s="18" t="str">
        <f t="shared" si="3"/>
        <v/>
      </c>
      <c r="R54" s="18" t="str">
        <f t="shared" si="4"/>
        <v/>
      </c>
      <c r="S54" s="18" t="str">
        <f t="shared" si="5"/>
        <v/>
      </c>
      <c r="T54" s="18" t="str">
        <f t="shared" si="6"/>
        <v/>
      </c>
      <c r="U54" s="19" t="str">
        <f t="shared" si="7"/>
        <v/>
      </c>
      <c r="V54" s="18" t="str">
        <f t="shared" si="8"/>
        <v/>
      </c>
      <c r="W54" s="18" t="str">
        <f t="shared" si="9"/>
        <v/>
      </c>
      <c r="X54" s="18" t="str">
        <f t="shared" si="10"/>
        <v/>
      </c>
      <c r="Y54" s="20" t="str">
        <f t="shared" si="11"/>
        <v/>
      </c>
      <c r="Z54" s="20" t="str">
        <f t="shared" si="12"/>
        <v/>
      </c>
      <c r="AA54" s="18"/>
      <c r="AB54" s="20" t="str">
        <f t="shared" si="13"/>
        <v/>
      </c>
    </row>
  </sheetData>
  <mergeCells count="7">
    <mergeCell ref="A1:Q1"/>
    <mergeCell ref="A2:M2"/>
    <mergeCell ref="E2:G2"/>
    <mergeCell ref="H2:J2"/>
    <mergeCell ref="K2:M2"/>
    <mergeCell ref="L2:X2"/>
    <mergeCell ref="N2:AB2"/>
  </mergeCells>
  <conditionalFormatting sqref="A5:A33">
    <cfRule type="containsText" dxfId="0" priority="2" operator="between" text="inactive">
      <formula>NOT(ISERROR(SEARCH("inactive",A5)))</formula>
    </cfRule>
  </conditionalFormatting>
  <dataValidations count="8">
    <dataValidation type="list" allowBlank="1" sqref="A5:A54">
      <formula1>"active,inactive"</formula1>
    </dataValidation>
    <dataValidation type="list" allowBlank="1" sqref="B5:B54">
      <formula1>"🏢 Condo 公寓,🏠 Apartment 单位,🌿 即租即住,🌿 近国际学校,📌 商业旺铺,🌟 海景豪宅,📈 投资优选,🏞️ 花园住宅,🌟 2026全新地标,📈 海外投资优选,🌆 核心地段,🔥 限时优惠,✅ 永久产权,🏅 高回报,🏖️ 度假胜地,🏫 学区优选,🛣️ 交通便利,🔑 即买即住"</formula1>
    </dataValidation>
    <dataValidation type="list" allowBlank="1" sqref="E5:E54">
      <formula1>"Studio,1,2,3,4,5,6"</formula1>
    </dataValidation>
    <dataValidation type="list" allowBlank="1" sqref="F5:F54">
      <formula1>"1,2,3,4,5"</formula1>
    </dataValidation>
    <dataValidation type="list" allowBlank="1" sqref="I5:I54">
      <formula1>"24小时保安,保安亭,无保安"</formula1>
    </dataValidation>
    <dataValidation type="list" allowBlank="1" sqref="J5:J54">
      <formula1>"CCTV监控,无CCTV监控"</formula1>
    </dataValidation>
    <dataValidation type="list" allowBlank="1" sqref="K5:K54">
      <formula1>"等级1门禁,等级2门禁,等级3门禁,等级4门禁,等级5门禁,等级6门禁,无门禁"</formula1>
    </dataValidation>
    <dataValidation type="list" allowBlank="1" sqref="M5:M54">
      <formula1>"已出租 Rented,已售出 Sold,装修中 Renovating,议价空间 Negotiable,业主急售 Urgent,新上市 New Listing,独家代理 Exclusive,联系业主 Contact Owner,看房需预约 By Appt,短租可议 Short Stay"</formula1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217346"/>
  </sheetPr>
  <dimension ref="A1:AB54"/>
  <sheetViews>
    <sheetView showGridLines="0" workbookViewId="0">
      <pane ySplit="4" topLeftCell="A5" activePane="bottomLeft" state="frozen"/>
      <selection/>
      <selection pane="bottomLeft" activeCell="A4" sqref="A4"/>
    </sheetView>
  </sheetViews>
  <sheetFormatPr defaultColWidth="8.67619047619048" defaultRowHeight="15"/>
  <cols>
    <col min="1" max="1" width="10" customWidth="1"/>
    <col min="2" max="3" width="18" customWidth="1"/>
    <col min="4" max="4" width="26" customWidth="1"/>
    <col min="5" max="7" width="10" customWidth="1"/>
    <col min="8" max="8" width="22" customWidth="1"/>
    <col min="9" max="11" width="14" customWidth="1"/>
    <col min="12" max="14" width="12" customWidth="1"/>
    <col min="15" max="17" width="24" customWidth="1"/>
    <col min="18" max="21" width="30" customWidth="1"/>
    <col min="22" max="24" width="20" customWidth="1"/>
    <col min="25" max="26" width="30" customWidth="1"/>
    <col min="27" max="27" width="5" customWidth="1"/>
    <col min="28" max="28" width="30" customWidth="1"/>
  </cols>
  <sheetData>
    <row r="1" ht="31.5" customHeight="1" spans="1:28">
      <c r="A1" s="1" t="s">
        <v>150</v>
      </c>
      <c r="R1" s="1"/>
      <c r="S1" s="1"/>
      <c r="T1" s="1"/>
      <c r="U1" s="1"/>
      <c r="V1" s="1"/>
      <c r="W1" s="1"/>
      <c r="X1" s="1"/>
    </row>
    <row r="2" ht="21.75" customHeight="1" spans="1:28">
      <c r="A2" s="2" t="s">
        <v>110</v>
      </c>
    </row>
    <row r="3" ht="36" customHeight="1" spans="1:28">
      <c r="A3" s="3" t="s">
        <v>111</v>
      </c>
      <c r="B3" s="3" t="s">
        <v>112</v>
      </c>
      <c r="C3" s="3" t="s">
        <v>113</v>
      </c>
      <c r="D3" s="3" t="s">
        <v>114</v>
      </c>
      <c r="E3" s="3" t="s">
        <v>115</v>
      </c>
      <c r="F3" s="3" t="s">
        <v>116</v>
      </c>
      <c r="G3" s="3" t="s">
        <v>117</v>
      </c>
      <c r="H3" s="3" t="s">
        <v>118</v>
      </c>
      <c r="I3" s="5" t="s">
        <v>119</v>
      </c>
      <c r="J3" s="6" t="s">
        <v>120</v>
      </c>
      <c r="K3" s="5" t="s">
        <v>121</v>
      </c>
      <c r="L3" s="3" t="s">
        <v>122</v>
      </c>
      <c r="M3" s="7" t="s">
        <v>123</v>
      </c>
      <c r="N3" s="8" t="s">
        <v>124</v>
      </c>
      <c r="O3" s="9" t="s">
        <v>125</v>
      </c>
      <c r="P3" s="8" t="s">
        <v>126</v>
      </c>
      <c r="Q3" s="8" t="s">
        <v>127</v>
      </c>
      <c r="R3" s="9" t="s">
        <v>128</v>
      </c>
      <c r="S3" s="8" t="s">
        <v>129</v>
      </c>
      <c r="T3" s="8" t="s">
        <v>130</v>
      </c>
      <c r="U3" s="9" t="s">
        <v>151</v>
      </c>
      <c r="V3" s="9" t="s">
        <v>132</v>
      </c>
      <c r="W3" s="8" t="s">
        <v>133</v>
      </c>
      <c r="X3" s="8" t="s">
        <v>134</v>
      </c>
      <c r="Y3" s="10" t="s">
        <v>135</v>
      </c>
      <c r="Z3" s="10" t="s">
        <v>136</v>
      </c>
      <c r="AA3" s="8" t="s">
        <v>137</v>
      </c>
      <c r="AB3" s="10" t="s">
        <v>138</v>
      </c>
    </row>
    <row r="4" ht="18" customHeight="1" spans="1:28">
      <c r="A4" s="12" t="s">
        <v>139</v>
      </c>
      <c r="B4" s="12" t="s">
        <v>140</v>
      </c>
      <c r="C4" s="12" t="s">
        <v>141</v>
      </c>
      <c r="D4" s="13" t="s">
        <v>142</v>
      </c>
      <c r="E4" s="12" t="s">
        <v>15</v>
      </c>
      <c r="F4" s="12" t="s">
        <v>11</v>
      </c>
      <c r="G4" s="12" t="s">
        <v>143</v>
      </c>
      <c r="H4" s="13" t="s">
        <v>144</v>
      </c>
      <c r="I4" s="12" t="s">
        <v>72</v>
      </c>
      <c r="J4" s="12" t="s">
        <v>80</v>
      </c>
      <c r="K4" s="13" t="s">
        <v>89</v>
      </c>
      <c r="L4" s="12" t="s">
        <v>96</v>
      </c>
      <c r="M4" s="13" t="s">
        <v>145</v>
      </c>
    </row>
    <row r="5" ht="51.75" customHeight="1" spans="1:28">
      <c r="A5" s="15"/>
      <c r="B5" s="15"/>
      <c r="C5" s="15"/>
      <c r="D5" s="15"/>
      <c r="E5" s="15"/>
      <c r="F5" s="15"/>
      <c r="G5" s="15"/>
      <c r="H5" s="15"/>
      <c r="I5" s="16"/>
      <c r="J5" s="16"/>
      <c r="K5" s="16"/>
      <c r="L5" s="15"/>
      <c r="M5" s="17"/>
      <c r="N5" s="18" t="str">
        <f t="shared" ref="N5:N54" si="0">IFERROR(_xlfn.IFS(B5="🏢 Condo 公寓","fa-building",B5="🏠 Apartment 单位","fa-home",B5="🌿 即租即住","fa-home",B5="🌿 近国际学校","fa-school",B5="📌 商业旺铺","fa-store",B5="🌟 海景豪宅","fa-water-ladder",B5="📈 投资优选","fa-chart-line",B5="🏞️ 花园住宅","fa-tree",B5="🌟 2026全新地标","fa-drafting-compass",B5="📈 海外投资优选","fa-globe",B5="🌆 核心地段","fa-city",B5="🔥 限时优惠","fa-fire",B5="✅ 永久产权","fa-certificate",B5="🏅 高回报","fa-medal",B5="🏖️ 度假胜地","fa-umbrella-beach",B5="🏫 学区优选","fa-graduation-cap",B5="🛣️ 交通便利","fa-road",B5="🔑 即买即住","fa-key"),"fa-home")</f>
        <v>fa-home</v>
      </c>
      <c r="O5" s="18" t="str">
        <f t="shared" ref="O5:O54" si="1">IF(D5&lt;&gt;"",D5,"")</f>
        <v/>
      </c>
      <c r="P5" s="18" t="str">
        <f t="shared" ref="P5:P54" si="2">IF(D5&lt;&gt;"",SUBSTITUTE(SUBSTITUTE(SUBSTITUTE(SUBSTITUTE(SUBSTITUTE(SUBSTITUTE(SUBSTITUTE(SUBSTITUTE(SUBSTITUTE(SUBSTITUTE(D5,"亚庇","Kota Kinabalu"),"公寓","Condo"),"排屋","Terrace"),"别墅","Villa"),"店铺","Shop"),"新山","Johor Bahru"),"市中心","City Centre"),"高级","Premium"),"单位","Unit"),"住宅","Residence"),"")</f>
        <v/>
      </c>
      <c r="Q5" s="18" t="str">
        <f t="shared" ref="Q5:Q54" si="3">IF(D5&lt;&gt;"",SUBSTITUTE(SUBSTITUTE(SUBSTITUTE(SUBSTITUTE(SUBSTITUTE(SUBSTITUTE(SUBSTITUTE(SUBSTITUTE(SUBSTITUTE(SUBSTITUTE(D5,"亚庇","Kota Kinabalu"),"公寓","Kondominium"),"排屋","Rumah Teres"),"别墅","Vila"),"店铺","Kedai"),"新山","Johor Bahru"),"市中心","Pusat Bandar"),"高级","Premium"),"单位","Unit"),"住宅","Kediaman"),"")</f>
        <v/>
      </c>
      <c r="R5" s="18" t="str">
        <f t="shared" ref="R5:R54" si="4">IF(D5&lt;&gt;"","📍 "&amp;IF(E5&lt;&gt;"",E5&amp;"房","")&amp;IF(F5&lt;&gt;"",F5&amp;"卫 ","")&amp;IF(G5&lt;&gt;"",G5&amp;" sqft","")&amp;IF(AND(OR(E5&lt;&gt;"",G5&lt;&gt;""),H5&lt;&gt;"")," · ","")&amp;IF(H5&lt;&gt;"",H5,""),"")</f>
        <v/>
      </c>
      <c r="S5" s="18" t="str">
        <f t="shared" ref="S5:S54" si="5">IF(D5&lt;&gt;"","📍 "&amp;IF(E5&lt;&gt;"",E5&amp;"BR ","")&amp;IF(F5&lt;&gt;"",F5&amp;"BA ","")&amp;IF(G5&lt;&gt;"",G5&amp;" sqft","")&amp;IF(AND(OR(E5&lt;&gt;"",G5&lt;&gt;""),H5&lt;&gt;"")," · ","")&amp;IF(H5&lt;&gt;"",SUBSTITUTE(SUBSTITUTE(SUBSTITUTE(SUBSTITUTE(SUBSTITUTE(SUBSTITUTE(SUBSTITUTE(SUBSTITUTE(SUBSTITUTE(SUBSTITUTE(H5,"游泳池","Swimming Pool"),"健身室","Gym"),"儿童乐园","Kids Play Area"),"BBQ区","BBQ Area"),"会所","Clubhouse"),"网球场","Tennis Court"),"篮球场","Basketball Court"),"停车场","Parking"),"便利店","Mini Mart"),"咖啡厅","Cafe"),""),"")</f>
        <v/>
      </c>
      <c r="T5" s="18" t="str">
        <f t="shared" ref="T5:T54" si="6">IF(D5&lt;&gt;"","📍 "&amp;IF(E5&lt;&gt;"",E5&amp;"Bilik ","")&amp;IF(F5&lt;&gt;"",F5&amp;"Bilik Air ","")&amp;IF(G5&lt;&gt;"",G5&amp;" sqft","")&amp;IF(AND(OR(E5&lt;&gt;"",G5&lt;&gt;""),H5&lt;&gt;"")," · ","")&amp;IF(H5&lt;&gt;"",SUBSTITUTE(SUBSTITUTE(SUBSTITUTE(SUBSTITUTE(SUBSTITUTE(SUBSTITUTE(SUBSTITUTE(SUBSTITUTE(SUBSTITUTE(SUBSTITUTE(H5,"游泳池","Kolam Renang"),"健身室","Gim"),"儿童乐园","Kawasan Permainan"),"BBQ区","Kawasan BBQ"),"会所","Kelab"),"网球场","Gelanggang Tenis"),"篮球场","Gelanggang Bola"),"停车场","Tempat Letak"),"便利店","Kedai Mini"),"咖啡厅","Kafe"),""),"")</f>
        <v/>
      </c>
      <c r="U5" s="19" t="str">
        <f t="shared" ref="U5:U54" si="7">IF(OR(I5&lt;&gt;"",J5&lt;&gt;"",K5&lt;&gt;""),"🔒 "&amp;IF(I5&lt;&gt;"",I5,"")&amp;IF(AND(I5&lt;&gt;"",J5&lt;&gt;"")," · ","")&amp;IF(J5&lt;&gt;"",J5,"")&amp;IF(AND(OR(I5&lt;&gt;"",J5&lt;&gt;""),K5&lt;&gt;"")," · ","")&amp;IF(K5&lt;&gt;"",K5,""),"")</f>
        <v/>
      </c>
      <c r="V5" s="18" t="str">
        <f t="shared" ref="V5:V54" si="8">IF(L5&lt;&gt;"","💰 售价 RM "&amp;TEXT(L5,"#,##0"),"")</f>
        <v/>
      </c>
      <c r="W5" s="18" t="str">
        <f t="shared" ref="W5:W54" si="9">IF(L5&lt;&gt;"","💰 Selling Price RM "&amp;TEXT(L5,"#,##0"),"")</f>
        <v/>
      </c>
      <c r="X5" s="18" t="str">
        <f t="shared" ref="X5:X54" si="10">IF(L5&lt;&gt;"","💰 Harga Jualan RM "&amp;TEXT(L5,"#,##0"),"")</f>
        <v/>
      </c>
      <c r="Y5" s="20" t="str">
        <f t="shared" ref="Y5:Y54" si="11">IF(D5&lt;&gt;"","您好！我想咨询购买：
🏠 "&amp;D5&amp;"
"&amp;IF(E5&lt;&gt;"","🛏 "&amp;E5&amp;"房"&amp;IF(F5&lt;&gt;""," "&amp;F5&amp;"卫","")&amp;"
","")&amp;IF(G5&lt;&gt;"","📐 "&amp;G5&amp;" sqft
","")&amp;IF(H5&lt;&gt;"","🏊 "&amp;H5&amp;"
","")&amp;IF(U5&lt;&gt;"",U5&amp;"
","")&amp;IF(L5&lt;&gt;"","💰 售价 RM "&amp;TEXT(L5,"#,##0")&amp;"
","")&amp;"
请问还有空档吗？谢谢！","")</f>
        <v/>
      </c>
      <c r="Z5" s="20" t="str">
        <f t="shared" ref="Z5:Z54" si="12">IF(D5&lt;&gt;"","Hi! I'd like to make a purchase enquiry:
🏠 "&amp;P5&amp;"
"&amp;IF(E5&lt;&gt;"","🛏 "&amp;E5&amp;"BR"&amp;IF(F5&lt;&gt;""," "&amp;F5&amp;"BA","")&amp;"
","")&amp;IF(G5&lt;&gt;"","📐 "&amp;G5&amp;" sqft
","")&amp;IF(H5&lt;&gt;"","🏊 "&amp;SUBSTITUTE(SUBSTITUTE(SUBSTITUTE(SUBSTITUTE(SUBSTITUTE(SUBSTITUTE(SUBSTITUTE(SUBSTITUTE(SUBSTITUTE(SUBSTITUTE(H5,"游泳池","Swimming Pool"),"健身室","Gym"),"儿童乐园","Kids Play Area"),"BBQ区","BBQ Area"),"会所","Clubhouse"),"网球场","Tennis Court"),"篮球场","Basketball Court"),"停车场","Parking"),"便利店","Mini Mart"),"咖啡厅","Cafe")&amp;"
","")&amp;IF(IF(OR(I5&lt;&gt;"",J5&lt;&gt;"",K5&lt;&gt;""),"🔒 "&amp;IF(I5&lt;&gt;"",SUBSTITUTE(SUBSTITUTE(SUBSTITUTE(SUBSTITUTE(SUBSTITUTE(SUBSTITUTE(SUBSTITUTE(SUBSTITUTE(SUBSTITUTE(SUBSTITUTE(SUBSTITUTE(SUBSTITUTE(I5,"24小时保安","24hr Guard"),"保安亭","Guardhouse"),"无保安","No Guard"),"CCTV监控","CCTV"),"无CCTV监控","No CCTV"),"等级1门禁","Lvl 1 Access"),"等级2门禁","Lvl 2 Access"),"等级3门禁","Lvl 3 Access"),"等级4门禁","Lvl 4 Access"),"等级5门禁","Lvl 5 Access"),"等级6门禁","Lvl 6 Access"),"无门禁","No Access Control"),"")&amp;IF(AND(I5&lt;&gt;"",OR(J5&lt;&gt;"",K5&lt;&gt;""))," · ","")&amp;IF(J5&lt;&gt;"",SUBSTITUTE(SUBSTITUTE(SUBSTITUTE(SUBSTITUTE(SUBSTITUTE(SUBSTITUTE(SUBSTITUTE(SUBSTITUTE(SUBSTITUTE(SUBSTITUTE(SUBSTITUTE(SUBSTITUTE(J5,"24小时保安","24hr Guard"),"保安亭","Guardhouse"),"无保安","No Guard"),"CCTV监控","CCTV"),"无CCTV监控","No CCTV"),"等级1门禁","Lvl 1 Access"),"等级2门禁","Lvl 2 Access"),"等级3门禁","Lvl 3 Access"),"等级4门禁","Lvl 4 Access"),"等级5门禁","Lvl 5 Access"),"等级6门禁","Lvl 6 Access"),"无门禁","No Access Control"),"")&amp;IF(AND(J5&lt;&gt;"",K5&lt;&gt;"")," · ","")&amp;IF(K5&lt;&gt;"",SUBSTITUTE(SUBSTITUTE(SUBSTITUTE(SUBSTITUTE(SUBSTITUTE(SUBSTITUTE(SUBSTITUTE(SUBSTITUTE(SUBSTITUTE(SUBSTITUTE(SUBSTITUTE(SUBSTITUTE(K5,"24小时保安","24hr Guard"),"保安亭","Guardhouse"),"无保安","No Guard"),"CCTV监控","CCTV"),"无CCTV监控","No CCTV"),"等级1门禁","Lvl 1 Access"),"等级2门禁","Lvl 2 Access"),"等级3门禁","Lvl 3 Access"),"等级4门禁","Lvl 4 Access"),"等级5门禁","Lvl 5 Access"),"等级6门禁","Lvl 6 Access"),"无门禁","No Access Control"),""),"")&lt;&gt;"",IF(OR(I5&lt;&gt;"",J5&lt;&gt;"",K5&lt;&gt;""),"🔒 "&amp;IF(I5&lt;&gt;"",SUBSTITUTE(SUBSTITUTE(SUBSTITUTE(SUBSTITUTE(SUBSTITUTE(SUBSTITUTE(SUBSTITUTE(SUBSTITUTE(SUBSTITUTE(SUBSTITUTE(SUBSTITUTE(SUBSTITUTE(I5,"24小时保安","24hr Guard"),"保安亭","Guardhouse"),"无保安","No Guard"),"CCTV监控","CCTV"),"无CCTV监控","No CCTV"),"等级1门禁","Lvl 1 Access"),"等级2门禁","Lvl 2 Access"),"等级3门禁","Lvl 3 Access"),"等级4门禁","Lvl 4 Access"),"等级5门禁","Lvl 5 Access"),"等级6门禁","Lvl 6 Access"),"无门禁","No Access Control"),"")&amp;IF(AND(I5&lt;&gt;"",OR(J5&lt;&gt;"",K5&lt;&gt;""))," · ","")&amp;IF(J5&lt;&gt;"",SUBSTITUTE(SUBSTITUTE(SUBSTITUTE(SUBSTITUTE(SUBSTITUTE(SUBSTITUTE(SUBSTITUTE(SUBSTITUTE(SUBSTITUTE(SUBSTITUTE(SUBSTITUTE(SUBSTITUTE(J5,"24小时保安","24hr Guard"),"保安亭","Guardhouse"),"无保安","No Guard"),"CCTV监控","CCTV"),"无CCTV监控","No CCTV"),"等级1门禁","Lvl 1 Access"),"等级2门禁","Lvl 2 Access"),"等级3门禁","Lvl 3 Access"),"等级4门禁","Lvl 4 Access"),"等级5门禁","Lvl 5 Access"),"等级6门禁","Lvl 6 Access"),"无门禁","No Access Control"),"")&amp;IF(AND(J5&lt;&gt;"",K5&lt;&gt;"")," · ","")&amp;IF(K5&lt;&gt;"",SUBSTITUTE(SUBSTITUTE(SUBSTITUTE(SUBSTITUTE(SUBSTITUTE(SUBSTITUTE(SUBSTITUTE(SUBSTITUTE(SUBSTITUTE(SUBSTITUTE(SUBSTITUTE(SUBSTITUTE(K5,"24小时保安","24hr Guard"),"保安亭","Guardhouse"),"无保安","No Guard"),"CCTV监控","CCTV"),"无CCTV监控","No CCTV"),"等级1门禁","Lvl 1 Access"),"等级2门禁","Lvl 2 Access"),"等级3门禁","Lvl 3 Access"),"等级4门禁","Lvl 4 Access"),"等级5门禁","Lvl 5 Access"),"等级6门禁","Lvl 6 Access"),"无门禁","No Access Control"),""),"")&amp;"
","")&amp;IF(L5&lt;&gt;"","💰 Selling Price RM "&amp;TEXT(L5,"#,##0")&amp;"
","")&amp;"
Is this still available? Thank you!","")</f>
        <v/>
      </c>
      <c r="AA5" s="18"/>
      <c r="AB5" s="20" t="str">
        <f t="shared" ref="AB5:AB54" si="13">IF(D5&lt;&gt;"","Helo! Saya ingin membuat pertanyaan pembelian:
🏠 "&amp;Q5&amp;"
"&amp;IF(E5&lt;&gt;"","🛏 "&amp;E5&amp;"Bilik"&amp;IF(F5&lt;&gt;""," "&amp;F5&amp;"Bilik Air","")&amp;"
","")&amp;IF(G5&lt;&gt;"","📐 "&amp;G5&amp;" sqft
","")&amp;IF(H5&lt;&gt;"","🏊 "&amp;SUBSTITUTE(SUBSTITUTE(SUBSTITUTE(SUBSTITUTE(SUBSTITUTE(SUBSTITUTE(SUBSTITUTE(SUBSTITUTE(SUBSTITUTE(SUBSTITUTE(H5,"游泳池","Kolam Renang"),"健身室","Gim"),"儿童乐园","Kawasan Permainan"),"BBQ区","Kawasan BBQ"),"会所","Kelab"),"网球场","Gelanggang Tenis"),"篮球场","Gelanggang Bola"),"停车场","Tempat Letak"),"便利店","Kedai Mini"),"咖啡厅","Kafe")&amp;"
","")&amp;IF(IF(OR(I5&lt;&gt;"",J5&lt;&gt;"",K5&lt;&gt;""),"🔒 "&amp;IF(I5&lt;&gt;"",SUBSTITUTE(SUBSTITUTE(SUBSTITUTE(SUBSTITUTE(SUBSTITUTE(SUBSTITUTE(SUBSTITUTE(SUBSTITUTE(SUBSTITUTE(SUBSTITUTE(SUBSTITUTE(SUBSTITUTE(I5,"24小时保安","Pengawal 24j"),"保安亭","Guardhouse"),"无保安","Tiada Pengawal"),"CCTV监控","CCTV"),"无CCTV监控","Tiada CCTV"),"等级1门禁","Akses Thn 1"),"等级2门禁","Akses Thn 2"),"等级3门禁","Akses Thn 3"),"等级4门禁","Akses Thn 4"),"等级5门禁","Akses Thn 5"),"等级6门禁","Akses Thn 6"),"无门禁","Tiada Kawalan"),"")&amp;IF(AND(I5&lt;&gt;"",OR(J5&lt;&gt;"",K5&lt;&gt;""))," · ","")&amp;IF(J5&lt;&gt;"",SUBSTITUTE(SUBSTITUTE(SUBSTITUTE(SUBSTITUTE(SUBSTITUTE(SUBSTITUTE(SUBSTITUTE(SUBSTITUTE(SUBSTITUTE(SUBSTITUTE(SUBSTITUTE(SUBSTITUTE(J5,"24小时保安","Pengawal 24j"),"保安亭","Guardhouse"),"无保安","Tiada Pengawal"),"CCTV监控","CCTV"),"无CCTV监控","Tiada CCTV"),"等级1门禁","Akses Thn 1"),"等级2门禁","Akses Thn 2"),"等级3门禁","Akses Thn 3"),"等级4门禁","Akses Thn 4"),"等级5门禁","Akses Thn 5"),"等级6门禁","Akses Thn 6"),"无门禁","Tiada Kawalan"),"")&amp;IF(AND(J5&lt;&gt;"",K5&lt;&gt;"")," · ","")&amp;IF(K5&lt;&gt;"",SUBSTITUTE(SUBSTITUTE(SUBSTITUTE(SUBSTITUTE(SUBSTITUTE(SUBSTITUTE(SUBSTITUTE(SUBSTITUTE(SUBSTITUTE(SUBSTITUTE(SUBSTITUTE(SUBSTITUTE(K5,"24小时保安","Pengawal 24j"),"保安亭","Guardhouse"),"无保安","Tiada Pengawal"),"CCTV监控","CCTV"),"无CCTV监控","Tiada CCTV"),"等级1门禁","Akses Thn 1"),"等级2门禁","Akses Thn 2"),"等级3门禁","Akses Thn 3"),"等级4门禁","Akses Thn 4"),"等级5门禁","Akses Thn 5"),"等级6门禁","Akses Thn 6"),"无门禁","Tiada Kawalan"),""),"")&lt;&gt;"",IF(OR(I5&lt;&gt;"",J5&lt;&gt;"",K5&lt;&gt;""),"🔒 "&amp;IF(I5&lt;&gt;"",SUBSTITUTE(SUBSTITUTE(SUBSTITUTE(SUBSTITUTE(SUBSTITUTE(SUBSTITUTE(SUBSTITUTE(SUBSTITUTE(SUBSTITUTE(SUBSTITUTE(SUBSTITUTE(SUBSTITUTE(I5,"24小时保安","Pengawal 24j"),"保安亭","Guardhouse"),"无保安","Tiada Pengawal"),"CCTV监控","CCTV"),"无CCTV监控","Tiada CCTV"),"等级1门禁","Akses Thn 1"),"等级2门禁","Akses Thn 2"),"等级3门禁","Akses Thn 3"),"等级4门禁","Akses Thn 4"),"等级5门禁","Akses Thn 5"),"等级6门禁","Akses Thn 6"),"无门禁","Tiada Kawalan"),"")&amp;IF(AND(I5&lt;&gt;"",OR(J5&lt;&gt;"",K5&lt;&gt;""))," · ","")&amp;IF(J5&lt;&gt;"",SUBSTITUTE(SUBSTITUTE(SUBSTITUTE(SUBSTITUTE(SUBSTITUTE(SUBSTITUTE(SUBSTITUTE(SUBSTITUTE(SUBSTITUTE(SUBSTITUTE(SUBSTITUTE(SUBSTITUTE(J5,"24小时保安","Pengawal 24j"),"保安亭","Guardhouse"),"无保安","Tiada Pengawal"),"CCTV监控","CCTV"),"无CCTV监控","Tiada CCTV"),"等级1门禁","Akses Thn 1"),"等级2门禁","Akses Thn 2"),"等级3门禁","Akses Thn 3"),"等级4门禁","Akses Thn 4"),"等级5门禁","Akses Thn 5"),"等级6门禁","Akses Thn 6"),"无门禁","Tiada Kawalan"),"")&amp;IF(AND(J5&lt;&gt;"",K5&lt;&gt;"")," · ","")&amp;IF(K5&lt;&gt;"",SUBSTITUTE(SUBSTITUTE(SUBSTITUTE(SUBSTITUTE(SUBSTITUTE(SUBSTITUTE(SUBSTITUTE(SUBSTITUTE(SUBSTITUTE(SUBSTITUTE(SUBSTITUTE(SUBSTITUTE(K5,"24小时保安","Pengawal 24j"),"保安亭","Guardhouse"),"无保安","Tiada Pengawal"),"CCTV监控","CCTV"),"无CCTV监控","Tiada CCTV"),"等级1门禁","Akses Thn 1"),"等级2门禁","Akses Thn 2"),"等级3门禁","Akses Thn 3"),"等级4门禁","Akses Thn 4"),"等级5门禁","Akses Thn 5"),"等级6门禁","Akses Thn 6"),"无门禁","Tiada Kawalan"),""),"")&amp;"
","")&amp;IF(L5&lt;&gt;"","💰 Harga Jualan RM "&amp;TEXT(L5,"#,##0")&amp;"
","")&amp;"
Adakah masih tersedia? Terima kasih!","")</f>
        <v/>
      </c>
    </row>
    <row r="6" ht="51.75" customHeight="1" spans="1:28">
      <c r="A6" s="15"/>
      <c r="B6" s="15"/>
      <c r="C6" s="15"/>
      <c r="D6" s="15"/>
      <c r="E6" s="15"/>
      <c r="F6" s="15"/>
      <c r="G6" s="15"/>
      <c r="H6" s="15"/>
      <c r="I6" s="16"/>
      <c r="J6" s="16"/>
      <c r="K6" s="16"/>
      <c r="L6" s="15"/>
      <c r="M6" s="17"/>
      <c r="N6" s="18" t="str">
        <f t="shared" si="0"/>
        <v>fa-home</v>
      </c>
      <c r="O6" s="18" t="str">
        <f t="shared" si="1"/>
        <v/>
      </c>
      <c r="P6" s="18" t="str">
        <f t="shared" si="2"/>
        <v/>
      </c>
      <c r="Q6" s="18" t="str">
        <f t="shared" si="3"/>
        <v/>
      </c>
      <c r="R6" s="18" t="str">
        <f t="shared" si="4"/>
        <v/>
      </c>
      <c r="S6" s="18" t="str">
        <f t="shared" si="5"/>
        <v/>
      </c>
      <c r="T6" s="18" t="str">
        <f t="shared" si="6"/>
        <v/>
      </c>
      <c r="U6" s="19" t="str">
        <f t="shared" si="7"/>
        <v/>
      </c>
      <c r="V6" s="18" t="str">
        <f t="shared" si="8"/>
        <v/>
      </c>
      <c r="W6" s="18" t="str">
        <f t="shared" si="9"/>
        <v/>
      </c>
      <c r="X6" s="18" t="str">
        <f t="shared" si="10"/>
        <v/>
      </c>
      <c r="Y6" s="20" t="str">
        <f t="shared" si="11"/>
        <v/>
      </c>
      <c r="Z6" s="20" t="str">
        <f t="shared" si="12"/>
        <v/>
      </c>
      <c r="AA6" s="18"/>
      <c r="AB6" s="20" t="str">
        <f t="shared" si="13"/>
        <v/>
      </c>
    </row>
    <row r="7" ht="51.75" customHeight="1" spans="1:28">
      <c r="A7" s="15"/>
      <c r="B7" s="15"/>
      <c r="C7" s="15"/>
      <c r="D7" s="15"/>
      <c r="E7" s="15"/>
      <c r="F7" s="15"/>
      <c r="G7" s="15"/>
      <c r="H7" s="15"/>
      <c r="I7" s="16"/>
      <c r="J7" s="16"/>
      <c r="K7" s="16"/>
      <c r="L7" s="15"/>
      <c r="M7" s="17"/>
      <c r="N7" s="18" t="str">
        <f t="shared" si="0"/>
        <v>fa-home</v>
      </c>
      <c r="O7" s="18" t="str">
        <f t="shared" si="1"/>
        <v/>
      </c>
      <c r="P7" s="18" t="str">
        <f t="shared" si="2"/>
        <v/>
      </c>
      <c r="Q7" s="18" t="str">
        <f t="shared" si="3"/>
        <v/>
      </c>
      <c r="R7" s="18" t="str">
        <f t="shared" si="4"/>
        <v/>
      </c>
      <c r="S7" s="18" t="str">
        <f t="shared" si="5"/>
        <v/>
      </c>
      <c r="T7" s="18" t="str">
        <f t="shared" si="6"/>
        <v/>
      </c>
      <c r="U7" s="19" t="str">
        <f t="shared" si="7"/>
        <v/>
      </c>
      <c r="V7" s="18" t="str">
        <f t="shared" si="8"/>
        <v/>
      </c>
      <c r="W7" s="18" t="str">
        <f t="shared" si="9"/>
        <v/>
      </c>
      <c r="X7" s="18" t="str">
        <f t="shared" si="10"/>
        <v/>
      </c>
      <c r="Y7" s="20" t="str">
        <f t="shared" si="11"/>
        <v/>
      </c>
      <c r="Z7" s="20" t="str">
        <f t="shared" si="12"/>
        <v/>
      </c>
      <c r="AA7" s="18"/>
      <c r="AB7" s="20" t="str">
        <f t="shared" si="13"/>
        <v/>
      </c>
    </row>
    <row r="8" ht="51.75" customHeight="1" spans="1:28">
      <c r="A8" s="15"/>
      <c r="B8" s="15"/>
      <c r="C8" s="15"/>
      <c r="D8" s="15"/>
      <c r="E8" s="15"/>
      <c r="F8" s="15"/>
      <c r="G8" s="15"/>
      <c r="H8" s="15"/>
      <c r="I8" s="16"/>
      <c r="J8" s="16"/>
      <c r="K8" s="16"/>
      <c r="L8" s="15"/>
      <c r="M8" s="17"/>
      <c r="N8" s="18" t="str">
        <f t="shared" si="0"/>
        <v>fa-home</v>
      </c>
      <c r="O8" s="18" t="str">
        <f t="shared" si="1"/>
        <v/>
      </c>
      <c r="P8" s="18" t="str">
        <f t="shared" si="2"/>
        <v/>
      </c>
      <c r="Q8" s="18" t="str">
        <f t="shared" si="3"/>
        <v/>
      </c>
      <c r="R8" s="18" t="str">
        <f t="shared" si="4"/>
        <v/>
      </c>
      <c r="S8" s="18" t="str">
        <f t="shared" si="5"/>
        <v/>
      </c>
      <c r="T8" s="18" t="str">
        <f t="shared" si="6"/>
        <v/>
      </c>
      <c r="U8" s="19" t="str">
        <f t="shared" si="7"/>
        <v/>
      </c>
      <c r="V8" s="18" t="str">
        <f t="shared" si="8"/>
        <v/>
      </c>
      <c r="W8" s="18" t="str">
        <f t="shared" si="9"/>
        <v/>
      </c>
      <c r="X8" s="18" t="str">
        <f t="shared" si="10"/>
        <v/>
      </c>
      <c r="Y8" s="20" t="str">
        <f t="shared" si="11"/>
        <v/>
      </c>
      <c r="Z8" s="20" t="str">
        <f t="shared" si="12"/>
        <v/>
      </c>
      <c r="AA8" s="18"/>
      <c r="AB8" s="20" t="str">
        <f t="shared" si="13"/>
        <v/>
      </c>
    </row>
    <row r="9" ht="51.75" customHeight="1" spans="1:28">
      <c r="A9" s="15"/>
      <c r="B9" s="15"/>
      <c r="C9" s="15"/>
      <c r="D9" s="15"/>
      <c r="E9" s="15"/>
      <c r="F9" s="15"/>
      <c r="G9" s="15"/>
      <c r="H9" s="15"/>
      <c r="I9" s="16"/>
      <c r="J9" s="16"/>
      <c r="K9" s="16"/>
      <c r="L9" s="15"/>
      <c r="M9" s="17"/>
      <c r="N9" s="18" t="str">
        <f t="shared" si="0"/>
        <v>fa-home</v>
      </c>
      <c r="O9" s="18" t="str">
        <f t="shared" si="1"/>
        <v/>
      </c>
      <c r="P9" s="18" t="str">
        <f t="shared" si="2"/>
        <v/>
      </c>
      <c r="Q9" s="18" t="str">
        <f t="shared" si="3"/>
        <v/>
      </c>
      <c r="R9" s="18" t="str">
        <f t="shared" si="4"/>
        <v/>
      </c>
      <c r="S9" s="18" t="str">
        <f t="shared" si="5"/>
        <v/>
      </c>
      <c r="T9" s="18" t="str">
        <f t="shared" si="6"/>
        <v/>
      </c>
      <c r="U9" s="19" t="str">
        <f t="shared" si="7"/>
        <v/>
      </c>
      <c r="V9" s="18" t="str">
        <f t="shared" si="8"/>
        <v/>
      </c>
      <c r="W9" s="18" t="str">
        <f t="shared" si="9"/>
        <v/>
      </c>
      <c r="X9" s="18" t="str">
        <f t="shared" si="10"/>
        <v/>
      </c>
      <c r="Y9" s="20" t="str">
        <f t="shared" si="11"/>
        <v/>
      </c>
      <c r="Z9" s="20" t="str">
        <f t="shared" si="12"/>
        <v/>
      </c>
      <c r="AA9" s="18"/>
      <c r="AB9" s="20" t="str">
        <f t="shared" si="13"/>
        <v/>
      </c>
    </row>
    <row r="10" ht="51.75" customHeight="1" spans="1:28">
      <c r="A10" s="15"/>
      <c r="B10" s="15"/>
      <c r="C10" s="15"/>
      <c r="D10" s="15"/>
      <c r="E10" s="15"/>
      <c r="F10" s="15"/>
      <c r="G10" s="15"/>
      <c r="H10" s="15"/>
      <c r="I10" s="16"/>
      <c r="J10" s="16"/>
      <c r="K10" s="16"/>
      <c r="L10" s="15"/>
      <c r="M10" s="17"/>
      <c r="N10" s="18" t="str">
        <f t="shared" si="0"/>
        <v>fa-home</v>
      </c>
      <c r="O10" s="18" t="str">
        <f t="shared" si="1"/>
        <v/>
      </c>
      <c r="P10" s="18" t="str">
        <f t="shared" si="2"/>
        <v/>
      </c>
      <c r="Q10" s="18" t="str">
        <f t="shared" si="3"/>
        <v/>
      </c>
      <c r="R10" s="18" t="str">
        <f t="shared" si="4"/>
        <v/>
      </c>
      <c r="S10" s="18" t="str">
        <f t="shared" si="5"/>
        <v/>
      </c>
      <c r="T10" s="18" t="str">
        <f t="shared" si="6"/>
        <v/>
      </c>
      <c r="U10" s="19" t="str">
        <f t="shared" si="7"/>
        <v/>
      </c>
      <c r="V10" s="18" t="str">
        <f t="shared" si="8"/>
        <v/>
      </c>
      <c r="W10" s="18" t="str">
        <f t="shared" si="9"/>
        <v/>
      </c>
      <c r="X10" s="18" t="str">
        <f t="shared" si="10"/>
        <v/>
      </c>
      <c r="Y10" s="20" t="str">
        <f t="shared" si="11"/>
        <v/>
      </c>
      <c r="Z10" s="20" t="str">
        <f t="shared" si="12"/>
        <v/>
      </c>
      <c r="AA10" s="18"/>
      <c r="AB10" s="20" t="str">
        <f t="shared" si="13"/>
        <v/>
      </c>
    </row>
    <row r="11" ht="51.75" customHeight="1" spans="1:28">
      <c r="A11" s="15"/>
      <c r="B11" s="15"/>
      <c r="C11" s="15"/>
      <c r="D11" s="15"/>
      <c r="E11" s="15"/>
      <c r="F11" s="15"/>
      <c r="G11" s="15"/>
      <c r="H11" s="15"/>
      <c r="I11" s="16"/>
      <c r="J11" s="16"/>
      <c r="K11" s="16"/>
      <c r="L11" s="15"/>
      <c r="M11" s="17"/>
      <c r="N11" s="18" t="str">
        <f t="shared" si="0"/>
        <v>fa-home</v>
      </c>
      <c r="O11" s="18" t="str">
        <f t="shared" si="1"/>
        <v/>
      </c>
      <c r="P11" s="18" t="str">
        <f t="shared" si="2"/>
        <v/>
      </c>
      <c r="Q11" s="18" t="str">
        <f t="shared" si="3"/>
        <v/>
      </c>
      <c r="R11" s="18" t="str">
        <f t="shared" si="4"/>
        <v/>
      </c>
      <c r="S11" s="18" t="str">
        <f t="shared" si="5"/>
        <v/>
      </c>
      <c r="T11" s="18" t="str">
        <f t="shared" si="6"/>
        <v/>
      </c>
      <c r="U11" s="19" t="str">
        <f t="shared" si="7"/>
        <v/>
      </c>
      <c r="V11" s="18" t="str">
        <f t="shared" si="8"/>
        <v/>
      </c>
      <c r="W11" s="18" t="str">
        <f t="shared" si="9"/>
        <v/>
      </c>
      <c r="X11" s="18" t="str">
        <f t="shared" si="10"/>
        <v/>
      </c>
      <c r="Y11" s="20" t="str">
        <f t="shared" si="11"/>
        <v/>
      </c>
      <c r="Z11" s="20" t="str">
        <f t="shared" si="12"/>
        <v/>
      </c>
      <c r="AA11" s="18"/>
      <c r="AB11" s="20" t="str">
        <f t="shared" si="13"/>
        <v/>
      </c>
    </row>
    <row r="12" ht="51.75" customHeight="1" spans="1:28">
      <c r="A12" s="15"/>
      <c r="B12" s="15"/>
      <c r="C12" s="15"/>
      <c r="D12" s="15"/>
      <c r="E12" s="15"/>
      <c r="F12" s="15"/>
      <c r="G12" s="15"/>
      <c r="H12" s="15"/>
      <c r="I12" s="16"/>
      <c r="J12" s="16"/>
      <c r="K12" s="16"/>
      <c r="L12" s="15"/>
      <c r="M12" s="17"/>
      <c r="N12" s="18" t="str">
        <f t="shared" si="0"/>
        <v>fa-home</v>
      </c>
      <c r="O12" s="18" t="str">
        <f t="shared" si="1"/>
        <v/>
      </c>
      <c r="P12" s="18" t="str">
        <f t="shared" si="2"/>
        <v/>
      </c>
      <c r="Q12" s="18" t="str">
        <f t="shared" si="3"/>
        <v/>
      </c>
      <c r="R12" s="18" t="str">
        <f t="shared" si="4"/>
        <v/>
      </c>
      <c r="S12" s="18" t="str">
        <f t="shared" si="5"/>
        <v/>
      </c>
      <c r="T12" s="18" t="str">
        <f t="shared" si="6"/>
        <v/>
      </c>
      <c r="U12" s="19" t="str">
        <f t="shared" si="7"/>
        <v/>
      </c>
      <c r="V12" s="18" t="str">
        <f t="shared" si="8"/>
        <v/>
      </c>
      <c r="W12" s="18" t="str">
        <f t="shared" si="9"/>
        <v/>
      </c>
      <c r="X12" s="18" t="str">
        <f t="shared" si="10"/>
        <v/>
      </c>
      <c r="Y12" s="20" t="str">
        <f t="shared" si="11"/>
        <v/>
      </c>
      <c r="Z12" s="20" t="str">
        <f t="shared" si="12"/>
        <v/>
      </c>
      <c r="AA12" s="18"/>
      <c r="AB12" s="20" t="str">
        <f t="shared" si="13"/>
        <v/>
      </c>
    </row>
    <row r="13" ht="51.75" customHeight="1" spans="1:28">
      <c r="A13" s="15"/>
      <c r="B13" s="15"/>
      <c r="C13" s="15"/>
      <c r="D13" s="15"/>
      <c r="E13" s="15"/>
      <c r="F13" s="15"/>
      <c r="G13" s="15"/>
      <c r="H13" s="15"/>
      <c r="I13" s="16"/>
      <c r="J13" s="16"/>
      <c r="K13" s="16"/>
      <c r="L13" s="15"/>
      <c r="M13" s="17"/>
      <c r="N13" s="18" t="str">
        <f t="shared" si="0"/>
        <v>fa-home</v>
      </c>
      <c r="O13" s="18" t="str">
        <f t="shared" si="1"/>
        <v/>
      </c>
      <c r="P13" s="18" t="str">
        <f t="shared" si="2"/>
        <v/>
      </c>
      <c r="Q13" s="18" t="str">
        <f t="shared" si="3"/>
        <v/>
      </c>
      <c r="R13" s="18" t="str">
        <f t="shared" si="4"/>
        <v/>
      </c>
      <c r="S13" s="18" t="str">
        <f t="shared" si="5"/>
        <v/>
      </c>
      <c r="T13" s="18" t="str">
        <f t="shared" si="6"/>
        <v/>
      </c>
      <c r="U13" s="19" t="str">
        <f t="shared" si="7"/>
        <v/>
      </c>
      <c r="V13" s="18" t="str">
        <f t="shared" si="8"/>
        <v/>
      </c>
      <c r="W13" s="18" t="str">
        <f t="shared" si="9"/>
        <v/>
      </c>
      <c r="X13" s="18" t="str">
        <f t="shared" si="10"/>
        <v/>
      </c>
      <c r="Y13" s="20" t="str">
        <f t="shared" si="11"/>
        <v/>
      </c>
      <c r="Z13" s="20" t="str">
        <f t="shared" si="12"/>
        <v/>
      </c>
      <c r="AA13" s="18"/>
      <c r="AB13" s="20" t="str">
        <f t="shared" si="13"/>
        <v/>
      </c>
    </row>
    <row r="14" ht="51.75" customHeight="1" spans="1:28">
      <c r="A14" s="15"/>
      <c r="B14" s="15"/>
      <c r="C14" s="15"/>
      <c r="D14" s="15"/>
      <c r="E14" s="15"/>
      <c r="F14" s="15"/>
      <c r="G14" s="15"/>
      <c r="H14" s="15"/>
      <c r="I14" s="16"/>
      <c r="J14" s="16"/>
      <c r="K14" s="16"/>
      <c r="L14" s="15"/>
      <c r="M14" s="17"/>
      <c r="N14" s="18" t="str">
        <f t="shared" si="0"/>
        <v>fa-home</v>
      </c>
      <c r="O14" s="18" t="str">
        <f t="shared" si="1"/>
        <v/>
      </c>
      <c r="P14" s="18" t="str">
        <f t="shared" si="2"/>
        <v/>
      </c>
      <c r="Q14" s="18" t="str">
        <f t="shared" si="3"/>
        <v/>
      </c>
      <c r="R14" s="18" t="str">
        <f t="shared" si="4"/>
        <v/>
      </c>
      <c r="S14" s="18" t="str">
        <f t="shared" si="5"/>
        <v/>
      </c>
      <c r="T14" s="18" t="str">
        <f t="shared" si="6"/>
        <v/>
      </c>
      <c r="U14" s="19" t="str">
        <f t="shared" si="7"/>
        <v/>
      </c>
      <c r="V14" s="18" t="str">
        <f t="shared" si="8"/>
        <v/>
      </c>
      <c r="W14" s="18" t="str">
        <f t="shared" si="9"/>
        <v/>
      </c>
      <c r="X14" s="18" t="str">
        <f t="shared" si="10"/>
        <v/>
      </c>
      <c r="Y14" s="20" t="str">
        <f t="shared" si="11"/>
        <v/>
      </c>
      <c r="Z14" s="20" t="str">
        <f t="shared" si="12"/>
        <v/>
      </c>
      <c r="AA14" s="18"/>
      <c r="AB14" s="20" t="str">
        <f t="shared" si="13"/>
        <v/>
      </c>
    </row>
    <row r="15" ht="51.75" customHeight="1" spans="1:28">
      <c r="A15" s="15"/>
      <c r="B15" s="15"/>
      <c r="C15" s="15"/>
      <c r="D15" s="15"/>
      <c r="E15" s="15"/>
      <c r="F15" s="15"/>
      <c r="G15" s="15"/>
      <c r="H15" s="15"/>
      <c r="I15" s="16"/>
      <c r="J15" s="16"/>
      <c r="K15" s="16"/>
      <c r="L15" s="15"/>
      <c r="M15" s="17"/>
      <c r="N15" s="18" t="str">
        <f t="shared" si="0"/>
        <v>fa-home</v>
      </c>
      <c r="O15" s="18" t="str">
        <f t="shared" si="1"/>
        <v/>
      </c>
      <c r="P15" s="18" t="str">
        <f t="shared" si="2"/>
        <v/>
      </c>
      <c r="Q15" s="18" t="str">
        <f t="shared" si="3"/>
        <v/>
      </c>
      <c r="R15" s="18" t="str">
        <f t="shared" si="4"/>
        <v/>
      </c>
      <c r="S15" s="18" t="str">
        <f t="shared" si="5"/>
        <v/>
      </c>
      <c r="T15" s="18" t="str">
        <f t="shared" si="6"/>
        <v/>
      </c>
      <c r="U15" s="19" t="str">
        <f t="shared" si="7"/>
        <v/>
      </c>
      <c r="V15" s="18" t="str">
        <f t="shared" si="8"/>
        <v/>
      </c>
      <c r="W15" s="18" t="str">
        <f t="shared" si="9"/>
        <v/>
      </c>
      <c r="X15" s="18" t="str">
        <f t="shared" si="10"/>
        <v/>
      </c>
      <c r="Y15" s="20" t="str">
        <f t="shared" si="11"/>
        <v/>
      </c>
      <c r="Z15" s="20" t="str">
        <f t="shared" si="12"/>
        <v/>
      </c>
      <c r="AA15" s="18"/>
      <c r="AB15" s="20" t="str">
        <f t="shared" si="13"/>
        <v/>
      </c>
    </row>
    <row r="16" ht="51.75" customHeight="1" spans="1:28">
      <c r="A16" s="15"/>
      <c r="B16" s="15"/>
      <c r="C16" s="15"/>
      <c r="D16" s="15"/>
      <c r="E16" s="15"/>
      <c r="F16" s="15"/>
      <c r="G16" s="15"/>
      <c r="H16" s="15"/>
      <c r="I16" s="16"/>
      <c r="J16" s="16"/>
      <c r="K16" s="16"/>
      <c r="L16" s="15"/>
      <c r="M16" s="17"/>
      <c r="N16" s="18" t="str">
        <f t="shared" si="0"/>
        <v>fa-home</v>
      </c>
      <c r="O16" s="18" t="str">
        <f t="shared" si="1"/>
        <v/>
      </c>
      <c r="P16" s="18" t="str">
        <f t="shared" si="2"/>
        <v/>
      </c>
      <c r="Q16" s="18" t="str">
        <f t="shared" si="3"/>
        <v/>
      </c>
      <c r="R16" s="18" t="str">
        <f t="shared" si="4"/>
        <v/>
      </c>
      <c r="S16" s="18" t="str">
        <f t="shared" si="5"/>
        <v/>
      </c>
      <c r="T16" s="18" t="str">
        <f t="shared" si="6"/>
        <v/>
      </c>
      <c r="U16" s="19" t="str">
        <f t="shared" si="7"/>
        <v/>
      </c>
      <c r="V16" s="18" t="str">
        <f t="shared" si="8"/>
        <v/>
      </c>
      <c r="W16" s="18" t="str">
        <f t="shared" si="9"/>
        <v/>
      </c>
      <c r="X16" s="18" t="str">
        <f t="shared" si="10"/>
        <v/>
      </c>
      <c r="Y16" s="20" t="str">
        <f t="shared" si="11"/>
        <v/>
      </c>
      <c r="Z16" s="20" t="str">
        <f t="shared" si="12"/>
        <v/>
      </c>
      <c r="AA16" s="18"/>
      <c r="AB16" s="20" t="str">
        <f t="shared" si="13"/>
        <v/>
      </c>
    </row>
    <row r="17" ht="51.75" customHeight="1" spans="1:28">
      <c r="A17" s="15"/>
      <c r="B17" s="15"/>
      <c r="C17" s="15"/>
      <c r="D17" s="15"/>
      <c r="E17" s="15"/>
      <c r="F17" s="15"/>
      <c r="G17" s="15"/>
      <c r="H17" s="15"/>
      <c r="I17" s="16"/>
      <c r="J17" s="16"/>
      <c r="K17" s="16"/>
      <c r="L17" s="15"/>
      <c r="M17" s="17"/>
      <c r="N17" s="18" t="str">
        <f t="shared" si="0"/>
        <v>fa-home</v>
      </c>
      <c r="O17" s="18" t="str">
        <f t="shared" si="1"/>
        <v/>
      </c>
      <c r="P17" s="18" t="str">
        <f t="shared" si="2"/>
        <v/>
      </c>
      <c r="Q17" s="18" t="str">
        <f t="shared" si="3"/>
        <v/>
      </c>
      <c r="R17" s="18" t="str">
        <f t="shared" si="4"/>
        <v/>
      </c>
      <c r="S17" s="18" t="str">
        <f t="shared" si="5"/>
        <v/>
      </c>
      <c r="T17" s="18" t="str">
        <f t="shared" si="6"/>
        <v/>
      </c>
      <c r="U17" s="19" t="str">
        <f t="shared" si="7"/>
        <v/>
      </c>
      <c r="V17" s="18" t="str">
        <f t="shared" si="8"/>
        <v/>
      </c>
      <c r="W17" s="18" t="str">
        <f t="shared" si="9"/>
        <v/>
      </c>
      <c r="X17" s="18" t="str">
        <f t="shared" si="10"/>
        <v/>
      </c>
      <c r="Y17" s="20" t="str">
        <f t="shared" si="11"/>
        <v/>
      </c>
      <c r="Z17" s="20" t="str">
        <f t="shared" si="12"/>
        <v/>
      </c>
      <c r="AA17" s="18"/>
      <c r="AB17" s="20" t="str">
        <f t="shared" si="13"/>
        <v/>
      </c>
    </row>
    <row r="18" ht="51.75" customHeight="1" spans="1:28">
      <c r="A18" s="15"/>
      <c r="B18" s="15"/>
      <c r="C18" s="15"/>
      <c r="D18" s="15"/>
      <c r="E18" s="15"/>
      <c r="F18" s="15"/>
      <c r="G18" s="15"/>
      <c r="H18" s="15"/>
      <c r="I18" s="16"/>
      <c r="J18" s="16"/>
      <c r="K18" s="16"/>
      <c r="L18" s="15"/>
      <c r="M18" s="17"/>
      <c r="N18" s="18" t="str">
        <f t="shared" si="0"/>
        <v>fa-home</v>
      </c>
      <c r="O18" s="18" t="str">
        <f t="shared" si="1"/>
        <v/>
      </c>
      <c r="P18" s="18" t="str">
        <f t="shared" si="2"/>
        <v/>
      </c>
      <c r="Q18" s="18" t="str">
        <f t="shared" si="3"/>
        <v/>
      </c>
      <c r="R18" s="18" t="str">
        <f t="shared" si="4"/>
        <v/>
      </c>
      <c r="S18" s="18" t="str">
        <f t="shared" si="5"/>
        <v/>
      </c>
      <c r="T18" s="18" t="str">
        <f t="shared" si="6"/>
        <v/>
      </c>
      <c r="U18" s="19" t="str">
        <f t="shared" si="7"/>
        <v/>
      </c>
      <c r="V18" s="18" t="str">
        <f t="shared" si="8"/>
        <v/>
      </c>
      <c r="W18" s="18" t="str">
        <f t="shared" si="9"/>
        <v/>
      </c>
      <c r="X18" s="18" t="str">
        <f t="shared" si="10"/>
        <v/>
      </c>
      <c r="Y18" s="20" t="str">
        <f t="shared" si="11"/>
        <v/>
      </c>
      <c r="Z18" s="20" t="str">
        <f t="shared" si="12"/>
        <v/>
      </c>
      <c r="AA18" s="18"/>
      <c r="AB18" s="20" t="str">
        <f t="shared" si="13"/>
        <v/>
      </c>
    </row>
    <row r="19" ht="51.75" customHeight="1" spans="1:28">
      <c r="A19" s="15"/>
      <c r="B19" s="15"/>
      <c r="C19" s="15"/>
      <c r="D19" s="15"/>
      <c r="E19" s="15"/>
      <c r="F19" s="15"/>
      <c r="G19" s="15"/>
      <c r="H19" s="15"/>
      <c r="I19" s="16"/>
      <c r="J19" s="16"/>
      <c r="K19" s="16"/>
      <c r="L19" s="15"/>
      <c r="M19" s="17"/>
      <c r="N19" s="18" t="str">
        <f t="shared" si="0"/>
        <v>fa-home</v>
      </c>
      <c r="O19" s="18" t="str">
        <f t="shared" si="1"/>
        <v/>
      </c>
      <c r="P19" s="18" t="str">
        <f t="shared" si="2"/>
        <v/>
      </c>
      <c r="Q19" s="18" t="str">
        <f t="shared" si="3"/>
        <v/>
      </c>
      <c r="R19" s="18" t="str">
        <f t="shared" si="4"/>
        <v/>
      </c>
      <c r="S19" s="18" t="str">
        <f t="shared" si="5"/>
        <v/>
      </c>
      <c r="T19" s="18" t="str">
        <f t="shared" si="6"/>
        <v/>
      </c>
      <c r="U19" s="19" t="str">
        <f t="shared" si="7"/>
        <v/>
      </c>
      <c r="V19" s="18" t="str">
        <f t="shared" si="8"/>
        <v/>
      </c>
      <c r="W19" s="18" t="str">
        <f t="shared" si="9"/>
        <v/>
      </c>
      <c r="X19" s="18" t="str">
        <f t="shared" si="10"/>
        <v/>
      </c>
      <c r="Y19" s="20" t="str">
        <f t="shared" si="11"/>
        <v/>
      </c>
      <c r="Z19" s="20" t="str">
        <f t="shared" si="12"/>
        <v/>
      </c>
      <c r="AA19" s="18"/>
      <c r="AB19" s="20" t="str">
        <f t="shared" si="13"/>
        <v/>
      </c>
    </row>
    <row r="20" ht="51.75" customHeight="1" spans="1:28">
      <c r="A20" s="15"/>
      <c r="B20" s="15"/>
      <c r="C20" s="15"/>
      <c r="D20" s="15"/>
      <c r="E20" s="15"/>
      <c r="F20" s="15"/>
      <c r="G20" s="15"/>
      <c r="H20" s="15"/>
      <c r="I20" s="16"/>
      <c r="J20" s="16"/>
      <c r="K20" s="16"/>
      <c r="L20" s="15"/>
      <c r="M20" s="17"/>
      <c r="N20" s="18" t="str">
        <f t="shared" si="0"/>
        <v>fa-home</v>
      </c>
      <c r="O20" s="18" t="str">
        <f t="shared" si="1"/>
        <v/>
      </c>
      <c r="P20" s="18" t="str">
        <f t="shared" si="2"/>
        <v/>
      </c>
      <c r="Q20" s="18" t="str">
        <f t="shared" si="3"/>
        <v/>
      </c>
      <c r="R20" s="18" t="str">
        <f t="shared" si="4"/>
        <v/>
      </c>
      <c r="S20" s="18" t="str">
        <f t="shared" si="5"/>
        <v/>
      </c>
      <c r="T20" s="18" t="str">
        <f t="shared" si="6"/>
        <v/>
      </c>
      <c r="U20" s="19" t="str">
        <f t="shared" si="7"/>
        <v/>
      </c>
      <c r="V20" s="18" t="str">
        <f t="shared" si="8"/>
        <v/>
      </c>
      <c r="W20" s="18" t="str">
        <f t="shared" si="9"/>
        <v/>
      </c>
      <c r="X20" s="18" t="str">
        <f t="shared" si="10"/>
        <v/>
      </c>
      <c r="Y20" s="20" t="str">
        <f t="shared" si="11"/>
        <v/>
      </c>
      <c r="Z20" s="20" t="str">
        <f t="shared" si="12"/>
        <v/>
      </c>
      <c r="AA20" s="18"/>
      <c r="AB20" s="20" t="str">
        <f t="shared" si="13"/>
        <v/>
      </c>
    </row>
    <row r="21" ht="51.75" customHeight="1" spans="1:28">
      <c r="A21" s="15"/>
      <c r="B21" s="15"/>
      <c r="C21" s="15"/>
      <c r="D21" s="15"/>
      <c r="E21" s="15"/>
      <c r="F21" s="15"/>
      <c r="G21" s="15"/>
      <c r="H21" s="15"/>
      <c r="I21" s="16"/>
      <c r="J21" s="16"/>
      <c r="K21" s="16"/>
      <c r="L21" s="15"/>
      <c r="M21" s="17"/>
      <c r="N21" s="18" t="str">
        <f t="shared" si="0"/>
        <v>fa-home</v>
      </c>
      <c r="O21" s="18" t="str">
        <f t="shared" si="1"/>
        <v/>
      </c>
      <c r="P21" s="18" t="str">
        <f t="shared" si="2"/>
        <v/>
      </c>
      <c r="Q21" s="18" t="str">
        <f t="shared" si="3"/>
        <v/>
      </c>
      <c r="R21" s="18" t="str">
        <f t="shared" si="4"/>
        <v/>
      </c>
      <c r="S21" s="18" t="str">
        <f t="shared" si="5"/>
        <v/>
      </c>
      <c r="T21" s="18" t="str">
        <f t="shared" si="6"/>
        <v/>
      </c>
      <c r="U21" s="19" t="str">
        <f t="shared" si="7"/>
        <v/>
      </c>
      <c r="V21" s="18" t="str">
        <f t="shared" si="8"/>
        <v/>
      </c>
      <c r="W21" s="18" t="str">
        <f t="shared" si="9"/>
        <v/>
      </c>
      <c r="X21" s="18" t="str">
        <f t="shared" si="10"/>
        <v/>
      </c>
      <c r="Y21" s="20" t="str">
        <f t="shared" si="11"/>
        <v/>
      </c>
      <c r="Z21" s="20" t="str">
        <f t="shared" si="12"/>
        <v/>
      </c>
      <c r="AA21" s="18"/>
      <c r="AB21" s="20" t="str">
        <f t="shared" si="13"/>
        <v/>
      </c>
    </row>
    <row r="22" ht="51.75" customHeight="1" spans="1:28">
      <c r="A22" s="15"/>
      <c r="B22" s="15"/>
      <c r="C22" s="15"/>
      <c r="D22" s="15"/>
      <c r="E22" s="15"/>
      <c r="F22" s="15"/>
      <c r="G22" s="15"/>
      <c r="H22" s="15"/>
      <c r="I22" s="16"/>
      <c r="J22" s="16"/>
      <c r="K22" s="16"/>
      <c r="L22" s="15"/>
      <c r="M22" s="17"/>
      <c r="N22" s="18" t="str">
        <f t="shared" si="0"/>
        <v>fa-home</v>
      </c>
      <c r="O22" s="18" t="str">
        <f t="shared" si="1"/>
        <v/>
      </c>
      <c r="P22" s="18" t="str">
        <f t="shared" si="2"/>
        <v/>
      </c>
      <c r="Q22" s="18" t="str">
        <f t="shared" si="3"/>
        <v/>
      </c>
      <c r="R22" s="18" t="str">
        <f t="shared" si="4"/>
        <v/>
      </c>
      <c r="S22" s="18" t="str">
        <f t="shared" si="5"/>
        <v/>
      </c>
      <c r="T22" s="18" t="str">
        <f t="shared" si="6"/>
        <v/>
      </c>
      <c r="U22" s="19" t="str">
        <f t="shared" si="7"/>
        <v/>
      </c>
      <c r="V22" s="18" t="str">
        <f t="shared" si="8"/>
        <v/>
      </c>
      <c r="W22" s="18" t="str">
        <f t="shared" si="9"/>
        <v/>
      </c>
      <c r="X22" s="18" t="str">
        <f t="shared" si="10"/>
        <v/>
      </c>
      <c r="Y22" s="20" t="str">
        <f t="shared" si="11"/>
        <v/>
      </c>
      <c r="Z22" s="20" t="str">
        <f t="shared" si="12"/>
        <v/>
      </c>
      <c r="AA22" s="18"/>
      <c r="AB22" s="20" t="str">
        <f t="shared" si="13"/>
        <v/>
      </c>
    </row>
    <row r="23" ht="51.75" customHeight="1" spans="1:28">
      <c r="A23" s="15"/>
      <c r="B23" s="15"/>
      <c r="C23" s="15"/>
      <c r="D23" s="15"/>
      <c r="E23" s="15"/>
      <c r="F23" s="15"/>
      <c r="G23" s="15"/>
      <c r="H23" s="15"/>
      <c r="I23" s="16"/>
      <c r="J23" s="16"/>
      <c r="K23" s="16"/>
      <c r="L23" s="15"/>
      <c r="M23" s="17"/>
      <c r="N23" s="18" t="str">
        <f t="shared" si="0"/>
        <v>fa-home</v>
      </c>
      <c r="O23" s="18" t="str">
        <f t="shared" si="1"/>
        <v/>
      </c>
      <c r="P23" s="18" t="str">
        <f t="shared" si="2"/>
        <v/>
      </c>
      <c r="Q23" s="18" t="str">
        <f t="shared" si="3"/>
        <v/>
      </c>
      <c r="R23" s="18" t="str">
        <f t="shared" si="4"/>
        <v/>
      </c>
      <c r="S23" s="18" t="str">
        <f t="shared" si="5"/>
        <v/>
      </c>
      <c r="T23" s="18" t="str">
        <f t="shared" si="6"/>
        <v/>
      </c>
      <c r="U23" s="19" t="str">
        <f t="shared" si="7"/>
        <v/>
      </c>
      <c r="V23" s="18" t="str">
        <f t="shared" si="8"/>
        <v/>
      </c>
      <c r="W23" s="18" t="str">
        <f t="shared" si="9"/>
        <v/>
      </c>
      <c r="X23" s="18" t="str">
        <f t="shared" si="10"/>
        <v/>
      </c>
      <c r="Y23" s="20" t="str">
        <f t="shared" si="11"/>
        <v/>
      </c>
      <c r="Z23" s="20" t="str">
        <f t="shared" si="12"/>
        <v/>
      </c>
      <c r="AA23" s="18"/>
      <c r="AB23" s="20" t="str">
        <f t="shared" si="13"/>
        <v/>
      </c>
    </row>
    <row r="24" ht="51.75" customHeight="1" spans="1:28">
      <c r="A24" s="15"/>
      <c r="B24" s="15"/>
      <c r="C24" s="15"/>
      <c r="D24" s="15"/>
      <c r="E24" s="15"/>
      <c r="F24" s="15"/>
      <c r="G24" s="15"/>
      <c r="H24" s="15"/>
      <c r="I24" s="16"/>
      <c r="J24" s="16"/>
      <c r="K24" s="16"/>
      <c r="L24" s="15"/>
      <c r="M24" s="17"/>
      <c r="N24" s="18" t="str">
        <f t="shared" si="0"/>
        <v>fa-home</v>
      </c>
      <c r="O24" s="18" t="str">
        <f t="shared" si="1"/>
        <v/>
      </c>
      <c r="P24" s="18" t="str">
        <f t="shared" si="2"/>
        <v/>
      </c>
      <c r="Q24" s="18" t="str">
        <f t="shared" si="3"/>
        <v/>
      </c>
      <c r="R24" s="18" t="str">
        <f t="shared" si="4"/>
        <v/>
      </c>
      <c r="S24" s="18" t="str">
        <f t="shared" si="5"/>
        <v/>
      </c>
      <c r="T24" s="18" t="str">
        <f t="shared" si="6"/>
        <v/>
      </c>
      <c r="U24" s="19" t="str">
        <f t="shared" si="7"/>
        <v/>
      </c>
      <c r="V24" s="18" t="str">
        <f t="shared" si="8"/>
        <v/>
      </c>
      <c r="W24" s="18" t="str">
        <f t="shared" si="9"/>
        <v/>
      </c>
      <c r="X24" s="18" t="str">
        <f t="shared" si="10"/>
        <v/>
      </c>
      <c r="Y24" s="20" t="str">
        <f t="shared" si="11"/>
        <v/>
      </c>
      <c r="Z24" s="20" t="str">
        <f t="shared" si="12"/>
        <v/>
      </c>
      <c r="AA24" s="18"/>
      <c r="AB24" s="20" t="str">
        <f t="shared" si="13"/>
        <v/>
      </c>
    </row>
    <row r="25" ht="51.75" customHeight="1" spans="1:28">
      <c r="A25" s="15"/>
      <c r="B25" s="15"/>
      <c r="C25" s="15"/>
      <c r="D25" s="15"/>
      <c r="E25" s="15"/>
      <c r="F25" s="15"/>
      <c r="G25" s="15"/>
      <c r="H25" s="15"/>
      <c r="I25" s="16"/>
      <c r="J25" s="16"/>
      <c r="K25" s="16"/>
      <c r="L25" s="15"/>
      <c r="M25" s="17"/>
      <c r="N25" s="18" t="str">
        <f t="shared" si="0"/>
        <v>fa-home</v>
      </c>
      <c r="O25" s="18" t="str">
        <f t="shared" si="1"/>
        <v/>
      </c>
      <c r="P25" s="18" t="str">
        <f t="shared" si="2"/>
        <v/>
      </c>
      <c r="Q25" s="18" t="str">
        <f t="shared" si="3"/>
        <v/>
      </c>
      <c r="R25" s="18" t="str">
        <f t="shared" si="4"/>
        <v/>
      </c>
      <c r="S25" s="18" t="str">
        <f t="shared" si="5"/>
        <v/>
      </c>
      <c r="T25" s="18" t="str">
        <f t="shared" si="6"/>
        <v/>
      </c>
      <c r="U25" s="19" t="str">
        <f t="shared" si="7"/>
        <v/>
      </c>
      <c r="V25" s="18" t="str">
        <f t="shared" si="8"/>
        <v/>
      </c>
      <c r="W25" s="18" t="str">
        <f t="shared" si="9"/>
        <v/>
      </c>
      <c r="X25" s="18" t="str">
        <f t="shared" si="10"/>
        <v/>
      </c>
      <c r="Y25" s="20" t="str">
        <f t="shared" si="11"/>
        <v/>
      </c>
      <c r="Z25" s="20" t="str">
        <f t="shared" si="12"/>
        <v/>
      </c>
      <c r="AA25" s="18"/>
      <c r="AB25" s="20" t="str">
        <f t="shared" si="13"/>
        <v/>
      </c>
    </row>
    <row r="26" ht="51.75" customHeight="1" spans="1:28">
      <c r="A26" s="15"/>
      <c r="B26" s="15"/>
      <c r="C26" s="15"/>
      <c r="D26" s="15"/>
      <c r="E26" s="15"/>
      <c r="F26" s="15"/>
      <c r="G26" s="15"/>
      <c r="H26" s="15"/>
      <c r="I26" s="16"/>
      <c r="J26" s="16"/>
      <c r="K26" s="16"/>
      <c r="L26" s="15"/>
      <c r="M26" s="17"/>
      <c r="N26" s="18" t="str">
        <f t="shared" si="0"/>
        <v>fa-home</v>
      </c>
      <c r="O26" s="18" t="str">
        <f t="shared" si="1"/>
        <v/>
      </c>
      <c r="P26" s="18" t="str">
        <f t="shared" si="2"/>
        <v/>
      </c>
      <c r="Q26" s="18" t="str">
        <f t="shared" si="3"/>
        <v/>
      </c>
      <c r="R26" s="18" t="str">
        <f t="shared" si="4"/>
        <v/>
      </c>
      <c r="S26" s="18" t="str">
        <f t="shared" si="5"/>
        <v/>
      </c>
      <c r="T26" s="18" t="str">
        <f t="shared" si="6"/>
        <v/>
      </c>
      <c r="U26" s="19" t="str">
        <f t="shared" si="7"/>
        <v/>
      </c>
      <c r="V26" s="18" t="str">
        <f t="shared" si="8"/>
        <v/>
      </c>
      <c r="W26" s="18" t="str">
        <f t="shared" si="9"/>
        <v/>
      </c>
      <c r="X26" s="18" t="str">
        <f t="shared" si="10"/>
        <v/>
      </c>
      <c r="Y26" s="20" t="str">
        <f t="shared" si="11"/>
        <v/>
      </c>
      <c r="Z26" s="20" t="str">
        <f t="shared" si="12"/>
        <v/>
      </c>
      <c r="AA26" s="18"/>
      <c r="AB26" s="20" t="str">
        <f t="shared" si="13"/>
        <v/>
      </c>
    </row>
    <row r="27" ht="51.75" customHeight="1" spans="1:28">
      <c r="A27" s="15"/>
      <c r="B27" s="15"/>
      <c r="C27" s="15"/>
      <c r="D27" s="15"/>
      <c r="E27" s="15"/>
      <c r="F27" s="15"/>
      <c r="G27" s="15"/>
      <c r="H27" s="15"/>
      <c r="I27" s="16"/>
      <c r="J27" s="16"/>
      <c r="K27" s="16"/>
      <c r="L27" s="15"/>
      <c r="M27" s="17"/>
      <c r="N27" s="18" t="str">
        <f t="shared" si="0"/>
        <v>fa-home</v>
      </c>
      <c r="O27" s="18" t="str">
        <f t="shared" si="1"/>
        <v/>
      </c>
      <c r="P27" s="18" t="str">
        <f t="shared" si="2"/>
        <v/>
      </c>
      <c r="Q27" s="18" t="str">
        <f t="shared" si="3"/>
        <v/>
      </c>
      <c r="R27" s="18" t="str">
        <f t="shared" si="4"/>
        <v/>
      </c>
      <c r="S27" s="18" t="str">
        <f t="shared" si="5"/>
        <v/>
      </c>
      <c r="T27" s="18" t="str">
        <f t="shared" si="6"/>
        <v/>
      </c>
      <c r="U27" s="19" t="str">
        <f t="shared" si="7"/>
        <v/>
      </c>
      <c r="V27" s="18" t="str">
        <f t="shared" si="8"/>
        <v/>
      </c>
      <c r="W27" s="18" t="str">
        <f t="shared" si="9"/>
        <v/>
      </c>
      <c r="X27" s="18" t="str">
        <f t="shared" si="10"/>
        <v/>
      </c>
      <c r="Y27" s="20" t="str">
        <f t="shared" si="11"/>
        <v/>
      </c>
      <c r="Z27" s="20" t="str">
        <f t="shared" si="12"/>
        <v/>
      </c>
      <c r="AA27" s="18"/>
      <c r="AB27" s="20" t="str">
        <f t="shared" si="13"/>
        <v/>
      </c>
    </row>
    <row r="28" ht="51.75" customHeight="1" spans="1:28">
      <c r="A28" s="15"/>
      <c r="B28" s="15"/>
      <c r="C28" s="15"/>
      <c r="D28" s="15"/>
      <c r="E28" s="15"/>
      <c r="F28" s="15"/>
      <c r="G28" s="15"/>
      <c r="H28" s="15"/>
      <c r="I28" s="16"/>
      <c r="J28" s="16"/>
      <c r="K28" s="16"/>
      <c r="L28" s="15"/>
      <c r="M28" s="17"/>
      <c r="N28" s="18" t="str">
        <f t="shared" si="0"/>
        <v>fa-home</v>
      </c>
      <c r="O28" s="18" t="str">
        <f t="shared" si="1"/>
        <v/>
      </c>
      <c r="P28" s="18" t="str">
        <f t="shared" si="2"/>
        <v/>
      </c>
      <c r="Q28" s="18" t="str">
        <f t="shared" si="3"/>
        <v/>
      </c>
      <c r="R28" s="18" t="str">
        <f t="shared" si="4"/>
        <v/>
      </c>
      <c r="S28" s="18" t="str">
        <f t="shared" si="5"/>
        <v/>
      </c>
      <c r="T28" s="18" t="str">
        <f t="shared" si="6"/>
        <v/>
      </c>
      <c r="U28" s="19" t="str">
        <f t="shared" si="7"/>
        <v/>
      </c>
      <c r="V28" s="18" t="str">
        <f t="shared" si="8"/>
        <v/>
      </c>
      <c r="W28" s="18" t="str">
        <f t="shared" si="9"/>
        <v/>
      </c>
      <c r="X28" s="18" t="str">
        <f t="shared" si="10"/>
        <v/>
      </c>
      <c r="Y28" s="20" t="str">
        <f t="shared" si="11"/>
        <v/>
      </c>
      <c r="Z28" s="20" t="str">
        <f t="shared" si="12"/>
        <v/>
      </c>
      <c r="AA28" s="18"/>
      <c r="AB28" s="20" t="str">
        <f t="shared" si="13"/>
        <v/>
      </c>
    </row>
    <row r="29" ht="51.75" customHeight="1" spans="1:28">
      <c r="A29" s="15"/>
      <c r="B29" s="15"/>
      <c r="C29" s="15"/>
      <c r="D29" s="15"/>
      <c r="E29" s="15"/>
      <c r="F29" s="15"/>
      <c r="G29" s="15"/>
      <c r="H29" s="15"/>
      <c r="I29" s="16"/>
      <c r="J29" s="16"/>
      <c r="K29" s="16"/>
      <c r="L29" s="15"/>
      <c r="M29" s="17"/>
      <c r="N29" s="18" t="str">
        <f t="shared" si="0"/>
        <v>fa-home</v>
      </c>
      <c r="O29" s="18" t="str">
        <f t="shared" si="1"/>
        <v/>
      </c>
      <c r="P29" s="18" t="str">
        <f t="shared" si="2"/>
        <v/>
      </c>
      <c r="Q29" s="18" t="str">
        <f t="shared" si="3"/>
        <v/>
      </c>
      <c r="R29" s="18" t="str">
        <f t="shared" si="4"/>
        <v/>
      </c>
      <c r="S29" s="18" t="str">
        <f t="shared" si="5"/>
        <v/>
      </c>
      <c r="T29" s="18" t="str">
        <f t="shared" si="6"/>
        <v/>
      </c>
      <c r="U29" s="19" t="str">
        <f t="shared" si="7"/>
        <v/>
      </c>
      <c r="V29" s="18" t="str">
        <f t="shared" si="8"/>
        <v/>
      </c>
      <c r="W29" s="18" t="str">
        <f t="shared" si="9"/>
        <v/>
      </c>
      <c r="X29" s="18" t="str">
        <f t="shared" si="10"/>
        <v/>
      </c>
      <c r="Y29" s="20" t="str">
        <f t="shared" si="11"/>
        <v/>
      </c>
      <c r="Z29" s="20" t="str">
        <f t="shared" si="12"/>
        <v/>
      </c>
      <c r="AA29" s="18"/>
      <c r="AB29" s="20" t="str">
        <f t="shared" si="13"/>
        <v/>
      </c>
    </row>
    <row r="30" ht="51.75" customHeight="1" spans="1:28">
      <c r="A30" s="15"/>
      <c r="B30" s="15"/>
      <c r="C30" s="15"/>
      <c r="D30" s="15"/>
      <c r="E30" s="15"/>
      <c r="F30" s="15"/>
      <c r="G30" s="15"/>
      <c r="H30" s="15"/>
      <c r="I30" s="16"/>
      <c r="J30" s="16"/>
      <c r="K30" s="16"/>
      <c r="L30" s="15"/>
      <c r="M30" s="17"/>
      <c r="N30" s="18" t="str">
        <f t="shared" si="0"/>
        <v>fa-home</v>
      </c>
      <c r="O30" s="18" t="str">
        <f t="shared" si="1"/>
        <v/>
      </c>
      <c r="P30" s="18" t="str">
        <f t="shared" si="2"/>
        <v/>
      </c>
      <c r="Q30" s="18" t="str">
        <f t="shared" si="3"/>
        <v/>
      </c>
      <c r="R30" s="18" t="str">
        <f t="shared" si="4"/>
        <v/>
      </c>
      <c r="S30" s="18" t="str">
        <f t="shared" si="5"/>
        <v/>
      </c>
      <c r="T30" s="18" t="str">
        <f t="shared" si="6"/>
        <v/>
      </c>
      <c r="U30" s="19" t="str">
        <f t="shared" si="7"/>
        <v/>
      </c>
      <c r="V30" s="18" t="str">
        <f t="shared" si="8"/>
        <v/>
      </c>
      <c r="W30" s="18" t="str">
        <f t="shared" si="9"/>
        <v/>
      </c>
      <c r="X30" s="18" t="str">
        <f t="shared" si="10"/>
        <v/>
      </c>
      <c r="Y30" s="20" t="str">
        <f t="shared" si="11"/>
        <v/>
      </c>
      <c r="Z30" s="20" t="str">
        <f t="shared" si="12"/>
        <v/>
      </c>
      <c r="AA30" s="18"/>
      <c r="AB30" s="20" t="str">
        <f t="shared" si="13"/>
        <v/>
      </c>
    </row>
    <row r="31" ht="51.75" customHeight="1" spans="1:28">
      <c r="A31" s="15"/>
      <c r="B31" s="15"/>
      <c r="C31" s="15"/>
      <c r="D31" s="15"/>
      <c r="E31" s="15"/>
      <c r="F31" s="15"/>
      <c r="G31" s="15"/>
      <c r="H31" s="15"/>
      <c r="I31" s="16"/>
      <c r="J31" s="16"/>
      <c r="K31" s="16"/>
      <c r="L31" s="15"/>
      <c r="M31" s="17"/>
      <c r="N31" s="18" t="str">
        <f t="shared" si="0"/>
        <v>fa-home</v>
      </c>
      <c r="O31" s="18" t="str">
        <f t="shared" si="1"/>
        <v/>
      </c>
      <c r="P31" s="18" t="str">
        <f t="shared" si="2"/>
        <v/>
      </c>
      <c r="Q31" s="18" t="str">
        <f t="shared" si="3"/>
        <v/>
      </c>
      <c r="R31" s="18" t="str">
        <f t="shared" si="4"/>
        <v/>
      </c>
      <c r="S31" s="18" t="str">
        <f t="shared" si="5"/>
        <v/>
      </c>
      <c r="T31" s="18" t="str">
        <f t="shared" si="6"/>
        <v/>
      </c>
      <c r="U31" s="19" t="str">
        <f t="shared" si="7"/>
        <v/>
      </c>
      <c r="V31" s="18" t="str">
        <f t="shared" si="8"/>
        <v/>
      </c>
      <c r="W31" s="18" t="str">
        <f t="shared" si="9"/>
        <v/>
      </c>
      <c r="X31" s="18" t="str">
        <f t="shared" si="10"/>
        <v/>
      </c>
      <c r="Y31" s="20" t="str">
        <f t="shared" si="11"/>
        <v/>
      </c>
      <c r="Z31" s="20" t="str">
        <f t="shared" si="12"/>
        <v/>
      </c>
      <c r="AA31" s="18"/>
      <c r="AB31" s="20" t="str">
        <f t="shared" si="13"/>
        <v/>
      </c>
    </row>
    <row r="32" spans="1:28">
      <c r="A32" s="15"/>
      <c r="B32" s="15"/>
      <c r="C32" s="15"/>
      <c r="D32" s="15"/>
      <c r="E32" s="15"/>
      <c r="F32" s="15"/>
      <c r="G32" s="15"/>
      <c r="H32" s="15"/>
      <c r="I32" s="16"/>
      <c r="J32" s="16"/>
      <c r="K32" s="16"/>
      <c r="L32" s="15"/>
      <c r="M32" s="17"/>
      <c r="N32" s="18" t="str">
        <f t="shared" si="0"/>
        <v>fa-home</v>
      </c>
      <c r="O32" s="18" t="str">
        <f t="shared" si="1"/>
        <v/>
      </c>
      <c r="P32" s="18" t="str">
        <f t="shared" si="2"/>
        <v/>
      </c>
      <c r="Q32" s="18" t="str">
        <f t="shared" si="3"/>
        <v/>
      </c>
      <c r="R32" s="18" t="str">
        <f t="shared" si="4"/>
        <v/>
      </c>
      <c r="S32" s="18" t="str">
        <f t="shared" si="5"/>
        <v/>
      </c>
      <c r="T32" s="18" t="str">
        <f t="shared" si="6"/>
        <v/>
      </c>
      <c r="U32" s="19" t="str">
        <f t="shared" si="7"/>
        <v/>
      </c>
      <c r="V32" s="18" t="str">
        <f t="shared" si="8"/>
        <v/>
      </c>
      <c r="W32" s="18" t="str">
        <f t="shared" si="9"/>
        <v/>
      </c>
      <c r="X32" s="18" t="str">
        <f t="shared" si="10"/>
        <v/>
      </c>
      <c r="Y32" s="20" t="str">
        <f t="shared" si="11"/>
        <v/>
      </c>
      <c r="Z32" s="20" t="str">
        <f t="shared" si="12"/>
        <v/>
      </c>
      <c r="AA32" s="18"/>
      <c r="AB32" s="20" t="str">
        <f t="shared" si="13"/>
        <v/>
      </c>
    </row>
    <row r="33" spans="1:28">
      <c r="A33" s="15"/>
      <c r="B33" s="15"/>
      <c r="C33" s="15"/>
      <c r="D33" s="15"/>
      <c r="E33" s="15"/>
      <c r="F33" s="15"/>
      <c r="G33" s="15"/>
      <c r="H33" s="15"/>
      <c r="I33" s="16"/>
      <c r="J33" s="16"/>
      <c r="K33" s="16"/>
      <c r="L33" s="15"/>
      <c r="M33" s="17"/>
      <c r="N33" s="18" t="str">
        <f t="shared" si="0"/>
        <v>fa-home</v>
      </c>
      <c r="O33" s="18" t="str">
        <f t="shared" si="1"/>
        <v/>
      </c>
      <c r="P33" s="18" t="str">
        <f t="shared" si="2"/>
        <v/>
      </c>
      <c r="Q33" s="18" t="str">
        <f t="shared" si="3"/>
        <v/>
      </c>
      <c r="R33" s="18" t="str">
        <f t="shared" si="4"/>
        <v/>
      </c>
      <c r="S33" s="18" t="str">
        <f t="shared" si="5"/>
        <v/>
      </c>
      <c r="T33" s="18" t="str">
        <f t="shared" si="6"/>
        <v/>
      </c>
      <c r="U33" s="19" t="str">
        <f t="shared" si="7"/>
        <v/>
      </c>
      <c r="V33" s="18" t="str">
        <f t="shared" si="8"/>
        <v/>
      </c>
      <c r="W33" s="18" t="str">
        <f t="shared" si="9"/>
        <v/>
      </c>
      <c r="X33" s="18" t="str">
        <f t="shared" si="10"/>
        <v/>
      </c>
      <c r="Y33" s="20" t="str">
        <f t="shared" si="11"/>
        <v/>
      </c>
      <c r="Z33" s="20" t="str">
        <f t="shared" si="12"/>
        <v/>
      </c>
      <c r="AA33" s="18"/>
      <c r="AB33" s="20" t="str">
        <f t="shared" si="13"/>
        <v/>
      </c>
    </row>
    <row r="34" spans="1:28">
      <c r="A34" s="15"/>
      <c r="B34" s="15"/>
      <c r="C34" s="15"/>
      <c r="D34" s="15"/>
      <c r="E34" s="15"/>
      <c r="F34" s="15"/>
      <c r="G34" s="15"/>
      <c r="H34" s="15"/>
      <c r="I34" s="16"/>
      <c r="J34" s="16"/>
      <c r="K34" s="16"/>
      <c r="L34" s="15"/>
      <c r="M34" s="17"/>
      <c r="N34" s="18" t="str">
        <f t="shared" si="0"/>
        <v>fa-home</v>
      </c>
      <c r="O34" s="18" t="str">
        <f t="shared" si="1"/>
        <v/>
      </c>
      <c r="P34" s="18" t="str">
        <f t="shared" si="2"/>
        <v/>
      </c>
      <c r="Q34" s="18" t="str">
        <f t="shared" si="3"/>
        <v/>
      </c>
      <c r="R34" s="18" t="str">
        <f t="shared" si="4"/>
        <v/>
      </c>
      <c r="S34" s="18" t="str">
        <f t="shared" si="5"/>
        <v/>
      </c>
      <c r="T34" s="18" t="str">
        <f t="shared" si="6"/>
        <v/>
      </c>
      <c r="U34" s="19" t="str">
        <f t="shared" si="7"/>
        <v/>
      </c>
      <c r="V34" s="18" t="str">
        <f t="shared" si="8"/>
        <v/>
      </c>
      <c r="W34" s="18" t="str">
        <f t="shared" si="9"/>
        <v/>
      </c>
      <c r="X34" s="18" t="str">
        <f t="shared" si="10"/>
        <v/>
      </c>
      <c r="Y34" s="20" t="str">
        <f t="shared" si="11"/>
        <v/>
      </c>
      <c r="Z34" s="20" t="str">
        <f t="shared" si="12"/>
        <v/>
      </c>
      <c r="AA34" s="18"/>
      <c r="AB34" s="20" t="str">
        <f t="shared" si="13"/>
        <v/>
      </c>
    </row>
    <row r="35" spans="1:28">
      <c r="A35" s="15"/>
      <c r="B35" s="15"/>
      <c r="C35" s="15"/>
      <c r="D35" s="15"/>
      <c r="E35" s="15"/>
      <c r="F35" s="15"/>
      <c r="G35" s="15"/>
      <c r="H35" s="15"/>
      <c r="I35" s="16"/>
      <c r="J35" s="16"/>
      <c r="K35" s="16"/>
      <c r="L35" s="15"/>
      <c r="M35" s="17"/>
      <c r="N35" s="18" t="str">
        <f t="shared" si="0"/>
        <v>fa-home</v>
      </c>
      <c r="O35" s="18" t="str">
        <f t="shared" si="1"/>
        <v/>
      </c>
      <c r="P35" s="18" t="str">
        <f t="shared" si="2"/>
        <v/>
      </c>
      <c r="Q35" s="18" t="str">
        <f t="shared" si="3"/>
        <v/>
      </c>
      <c r="R35" s="18" t="str">
        <f t="shared" si="4"/>
        <v/>
      </c>
      <c r="S35" s="18" t="str">
        <f t="shared" si="5"/>
        <v/>
      </c>
      <c r="T35" s="18" t="str">
        <f t="shared" si="6"/>
        <v/>
      </c>
      <c r="U35" s="19" t="str">
        <f t="shared" si="7"/>
        <v/>
      </c>
      <c r="V35" s="18" t="str">
        <f t="shared" si="8"/>
        <v/>
      </c>
      <c r="W35" s="18" t="str">
        <f t="shared" si="9"/>
        <v/>
      </c>
      <c r="X35" s="18" t="str">
        <f t="shared" si="10"/>
        <v/>
      </c>
      <c r="Y35" s="20" t="str">
        <f t="shared" si="11"/>
        <v/>
      </c>
      <c r="Z35" s="20" t="str">
        <f t="shared" si="12"/>
        <v/>
      </c>
      <c r="AA35" s="18"/>
      <c r="AB35" s="20" t="str">
        <f t="shared" si="13"/>
        <v/>
      </c>
    </row>
    <row r="36" spans="1:28">
      <c r="A36" s="15"/>
      <c r="B36" s="15"/>
      <c r="C36" s="15"/>
      <c r="D36" s="15"/>
      <c r="E36" s="15"/>
      <c r="F36" s="15"/>
      <c r="G36" s="15"/>
      <c r="H36" s="15"/>
      <c r="I36" s="16"/>
      <c r="J36" s="16"/>
      <c r="K36" s="16"/>
      <c r="L36" s="15"/>
      <c r="M36" s="17"/>
      <c r="N36" s="18" t="str">
        <f t="shared" si="0"/>
        <v>fa-home</v>
      </c>
      <c r="O36" s="18" t="str">
        <f t="shared" si="1"/>
        <v/>
      </c>
      <c r="P36" s="18" t="str">
        <f t="shared" si="2"/>
        <v/>
      </c>
      <c r="Q36" s="18" t="str">
        <f t="shared" si="3"/>
        <v/>
      </c>
      <c r="R36" s="18" t="str">
        <f t="shared" si="4"/>
        <v/>
      </c>
      <c r="S36" s="18" t="str">
        <f t="shared" si="5"/>
        <v/>
      </c>
      <c r="T36" s="18" t="str">
        <f t="shared" si="6"/>
        <v/>
      </c>
      <c r="U36" s="19" t="str">
        <f t="shared" si="7"/>
        <v/>
      </c>
      <c r="V36" s="18" t="str">
        <f t="shared" si="8"/>
        <v/>
      </c>
      <c r="W36" s="18" t="str">
        <f t="shared" si="9"/>
        <v/>
      </c>
      <c r="X36" s="18" t="str">
        <f t="shared" si="10"/>
        <v/>
      </c>
      <c r="Y36" s="20" t="str">
        <f t="shared" si="11"/>
        <v/>
      </c>
      <c r="Z36" s="20" t="str">
        <f t="shared" si="12"/>
        <v/>
      </c>
      <c r="AA36" s="18"/>
      <c r="AB36" s="20" t="str">
        <f t="shared" si="13"/>
        <v/>
      </c>
    </row>
    <row r="37" spans="1:28">
      <c r="A37" s="15"/>
      <c r="B37" s="15"/>
      <c r="C37" s="15"/>
      <c r="D37" s="15"/>
      <c r="E37" s="15"/>
      <c r="F37" s="15"/>
      <c r="G37" s="15"/>
      <c r="H37" s="15"/>
      <c r="I37" s="16"/>
      <c r="J37" s="16"/>
      <c r="K37" s="16"/>
      <c r="L37" s="15"/>
      <c r="M37" s="17"/>
      <c r="N37" s="18" t="str">
        <f t="shared" si="0"/>
        <v>fa-home</v>
      </c>
      <c r="O37" s="18" t="str">
        <f t="shared" si="1"/>
        <v/>
      </c>
      <c r="P37" s="18" t="str">
        <f t="shared" si="2"/>
        <v/>
      </c>
      <c r="Q37" s="18" t="str">
        <f t="shared" si="3"/>
        <v/>
      </c>
      <c r="R37" s="18" t="str">
        <f t="shared" si="4"/>
        <v/>
      </c>
      <c r="S37" s="18" t="str">
        <f t="shared" si="5"/>
        <v/>
      </c>
      <c r="T37" s="18" t="str">
        <f t="shared" si="6"/>
        <v/>
      </c>
      <c r="U37" s="19" t="str">
        <f t="shared" si="7"/>
        <v/>
      </c>
      <c r="V37" s="18" t="str">
        <f t="shared" si="8"/>
        <v/>
      </c>
      <c r="W37" s="18" t="str">
        <f t="shared" si="9"/>
        <v/>
      </c>
      <c r="X37" s="18" t="str">
        <f t="shared" si="10"/>
        <v/>
      </c>
      <c r="Y37" s="20" t="str">
        <f t="shared" si="11"/>
        <v/>
      </c>
      <c r="Z37" s="20" t="str">
        <f t="shared" si="12"/>
        <v/>
      </c>
      <c r="AA37" s="18"/>
      <c r="AB37" s="20" t="str">
        <f t="shared" si="13"/>
        <v/>
      </c>
    </row>
    <row r="38" spans="1:28">
      <c r="A38" s="15"/>
      <c r="B38" s="15"/>
      <c r="C38" s="15"/>
      <c r="D38" s="15"/>
      <c r="E38" s="15"/>
      <c r="F38" s="15"/>
      <c r="G38" s="15"/>
      <c r="H38" s="15"/>
      <c r="I38" s="16"/>
      <c r="J38" s="16"/>
      <c r="K38" s="16"/>
      <c r="L38" s="15"/>
      <c r="M38" s="17"/>
      <c r="N38" s="18" t="str">
        <f t="shared" si="0"/>
        <v>fa-home</v>
      </c>
      <c r="O38" s="18" t="str">
        <f t="shared" si="1"/>
        <v/>
      </c>
      <c r="P38" s="18" t="str">
        <f t="shared" si="2"/>
        <v/>
      </c>
      <c r="Q38" s="18" t="str">
        <f t="shared" si="3"/>
        <v/>
      </c>
      <c r="R38" s="18" t="str">
        <f t="shared" si="4"/>
        <v/>
      </c>
      <c r="S38" s="18" t="str">
        <f t="shared" si="5"/>
        <v/>
      </c>
      <c r="T38" s="18" t="str">
        <f t="shared" si="6"/>
        <v/>
      </c>
      <c r="U38" s="19" t="str">
        <f t="shared" si="7"/>
        <v/>
      </c>
      <c r="V38" s="18" t="str">
        <f t="shared" si="8"/>
        <v/>
      </c>
      <c r="W38" s="18" t="str">
        <f t="shared" si="9"/>
        <v/>
      </c>
      <c r="X38" s="18" t="str">
        <f t="shared" si="10"/>
        <v/>
      </c>
      <c r="Y38" s="20" t="str">
        <f t="shared" si="11"/>
        <v/>
      </c>
      <c r="Z38" s="20" t="str">
        <f t="shared" si="12"/>
        <v/>
      </c>
      <c r="AA38" s="18"/>
      <c r="AB38" s="20" t="str">
        <f t="shared" si="13"/>
        <v/>
      </c>
    </row>
    <row r="39" spans="1:28">
      <c r="A39" s="15"/>
      <c r="B39" s="15"/>
      <c r="C39" s="15"/>
      <c r="D39" s="15"/>
      <c r="E39" s="15"/>
      <c r="F39" s="15"/>
      <c r="G39" s="15"/>
      <c r="H39" s="15"/>
      <c r="I39" s="16"/>
      <c r="J39" s="16"/>
      <c r="K39" s="16"/>
      <c r="L39" s="15"/>
      <c r="M39" s="17"/>
      <c r="N39" s="18" t="str">
        <f t="shared" si="0"/>
        <v>fa-home</v>
      </c>
      <c r="O39" s="18" t="str">
        <f t="shared" si="1"/>
        <v/>
      </c>
      <c r="P39" s="18" t="str">
        <f t="shared" si="2"/>
        <v/>
      </c>
      <c r="Q39" s="18" t="str">
        <f t="shared" si="3"/>
        <v/>
      </c>
      <c r="R39" s="18" t="str">
        <f t="shared" si="4"/>
        <v/>
      </c>
      <c r="S39" s="18" t="str">
        <f t="shared" si="5"/>
        <v/>
      </c>
      <c r="T39" s="18" t="str">
        <f t="shared" si="6"/>
        <v/>
      </c>
      <c r="U39" s="19" t="str">
        <f t="shared" si="7"/>
        <v/>
      </c>
      <c r="V39" s="18" t="str">
        <f t="shared" si="8"/>
        <v/>
      </c>
      <c r="W39" s="18" t="str">
        <f t="shared" si="9"/>
        <v/>
      </c>
      <c r="X39" s="18" t="str">
        <f t="shared" si="10"/>
        <v/>
      </c>
      <c r="Y39" s="20" t="str">
        <f t="shared" si="11"/>
        <v/>
      </c>
      <c r="Z39" s="20" t="str">
        <f t="shared" si="12"/>
        <v/>
      </c>
      <c r="AA39" s="18"/>
      <c r="AB39" s="20" t="str">
        <f t="shared" si="13"/>
        <v/>
      </c>
    </row>
    <row r="40" spans="1:28">
      <c r="A40" s="15"/>
      <c r="B40" s="15"/>
      <c r="C40" s="15"/>
      <c r="D40" s="15"/>
      <c r="E40" s="15"/>
      <c r="F40" s="15"/>
      <c r="G40" s="15"/>
      <c r="H40" s="15"/>
      <c r="I40" s="16"/>
      <c r="J40" s="16"/>
      <c r="K40" s="16"/>
      <c r="L40" s="15"/>
      <c r="M40" s="17"/>
      <c r="N40" s="18" t="str">
        <f t="shared" si="0"/>
        <v>fa-home</v>
      </c>
      <c r="O40" s="18" t="str">
        <f t="shared" si="1"/>
        <v/>
      </c>
      <c r="P40" s="18" t="str">
        <f t="shared" si="2"/>
        <v/>
      </c>
      <c r="Q40" s="18" t="str">
        <f t="shared" si="3"/>
        <v/>
      </c>
      <c r="R40" s="18" t="str">
        <f t="shared" si="4"/>
        <v/>
      </c>
      <c r="S40" s="18" t="str">
        <f t="shared" si="5"/>
        <v/>
      </c>
      <c r="T40" s="18" t="str">
        <f t="shared" si="6"/>
        <v/>
      </c>
      <c r="U40" s="19" t="str">
        <f t="shared" si="7"/>
        <v/>
      </c>
      <c r="V40" s="18" t="str">
        <f t="shared" si="8"/>
        <v/>
      </c>
      <c r="W40" s="18" t="str">
        <f t="shared" si="9"/>
        <v/>
      </c>
      <c r="X40" s="18" t="str">
        <f t="shared" si="10"/>
        <v/>
      </c>
      <c r="Y40" s="20" t="str">
        <f t="shared" si="11"/>
        <v/>
      </c>
      <c r="Z40" s="20" t="str">
        <f t="shared" si="12"/>
        <v/>
      </c>
      <c r="AA40" s="18"/>
      <c r="AB40" s="20" t="str">
        <f t="shared" si="13"/>
        <v/>
      </c>
    </row>
    <row r="41" spans="1:28">
      <c r="A41" s="15"/>
      <c r="B41" s="15"/>
      <c r="C41" s="15"/>
      <c r="D41" s="15"/>
      <c r="E41" s="15"/>
      <c r="F41" s="15"/>
      <c r="G41" s="15"/>
      <c r="H41" s="15"/>
      <c r="I41" s="16"/>
      <c r="J41" s="16"/>
      <c r="K41" s="16"/>
      <c r="L41" s="15"/>
      <c r="M41" s="17"/>
      <c r="N41" s="18" t="str">
        <f t="shared" si="0"/>
        <v>fa-home</v>
      </c>
      <c r="O41" s="18" t="str">
        <f t="shared" si="1"/>
        <v/>
      </c>
      <c r="P41" s="18" t="str">
        <f t="shared" si="2"/>
        <v/>
      </c>
      <c r="Q41" s="18" t="str">
        <f t="shared" si="3"/>
        <v/>
      </c>
      <c r="R41" s="18" t="str">
        <f t="shared" si="4"/>
        <v/>
      </c>
      <c r="S41" s="18" t="str">
        <f t="shared" si="5"/>
        <v/>
      </c>
      <c r="T41" s="18" t="str">
        <f t="shared" si="6"/>
        <v/>
      </c>
      <c r="U41" s="19" t="str">
        <f t="shared" si="7"/>
        <v/>
      </c>
      <c r="V41" s="18" t="str">
        <f t="shared" si="8"/>
        <v/>
      </c>
      <c r="W41" s="18" t="str">
        <f t="shared" si="9"/>
        <v/>
      </c>
      <c r="X41" s="18" t="str">
        <f t="shared" si="10"/>
        <v/>
      </c>
      <c r="Y41" s="20" t="str">
        <f t="shared" si="11"/>
        <v/>
      </c>
      <c r="Z41" s="20" t="str">
        <f t="shared" si="12"/>
        <v/>
      </c>
      <c r="AA41" s="18"/>
      <c r="AB41" s="20" t="str">
        <f t="shared" si="13"/>
        <v/>
      </c>
    </row>
    <row r="42" spans="1:28">
      <c r="A42" s="15"/>
      <c r="B42" s="15"/>
      <c r="C42" s="15"/>
      <c r="D42" s="15"/>
      <c r="E42" s="15"/>
      <c r="F42" s="15"/>
      <c r="G42" s="15"/>
      <c r="H42" s="15"/>
      <c r="I42" s="16"/>
      <c r="J42" s="16"/>
      <c r="K42" s="16"/>
      <c r="L42" s="15"/>
      <c r="M42" s="17"/>
      <c r="N42" s="18" t="str">
        <f t="shared" si="0"/>
        <v>fa-home</v>
      </c>
      <c r="O42" s="18" t="str">
        <f t="shared" si="1"/>
        <v/>
      </c>
      <c r="P42" s="18" t="str">
        <f t="shared" si="2"/>
        <v/>
      </c>
      <c r="Q42" s="18" t="str">
        <f t="shared" si="3"/>
        <v/>
      </c>
      <c r="R42" s="18" t="str">
        <f t="shared" si="4"/>
        <v/>
      </c>
      <c r="S42" s="18" t="str">
        <f t="shared" si="5"/>
        <v/>
      </c>
      <c r="T42" s="18" t="str">
        <f t="shared" si="6"/>
        <v/>
      </c>
      <c r="U42" s="19" t="str">
        <f t="shared" si="7"/>
        <v/>
      </c>
      <c r="V42" s="18" t="str">
        <f t="shared" si="8"/>
        <v/>
      </c>
      <c r="W42" s="18" t="str">
        <f t="shared" si="9"/>
        <v/>
      </c>
      <c r="X42" s="18" t="str">
        <f t="shared" si="10"/>
        <v/>
      </c>
      <c r="Y42" s="20" t="str">
        <f t="shared" si="11"/>
        <v/>
      </c>
      <c r="Z42" s="20" t="str">
        <f t="shared" si="12"/>
        <v/>
      </c>
      <c r="AA42" s="18"/>
      <c r="AB42" s="20" t="str">
        <f t="shared" si="13"/>
        <v/>
      </c>
    </row>
    <row r="43" spans="1:28">
      <c r="A43" s="15"/>
      <c r="B43" s="15"/>
      <c r="C43" s="15"/>
      <c r="D43" s="15"/>
      <c r="E43" s="15"/>
      <c r="F43" s="15"/>
      <c r="G43" s="15"/>
      <c r="H43" s="15"/>
      <c r="I43" s="16"/>
      <c r="J43" s="16"/>
      <c r="K43" s="16"/>
      <c r="L43" s="15"/>
      <c r="M43" s="17"/>
      <c r="N43" s="18" t="str">
        <f t="shared" si="0"/>
        <v>fa-home</v>
      </c>
      <c r="O43" s="18" t="str">
        <f t="shared" si="1"/>
        <v/>
      </c>
      <c r="P43" s="18" t="str">
        <f t="shared" si="2"/>
        <v/>
      </c>
      <c r="Q43" s="18" t="str">
        <f t="shared" si="3"/>
        <v/>
      </c>
      <c r="R43" s="18" t="str">
        <f t="shared" si="4"/>
        <v/>
      </c>
      <c r="S43" s="18" t="str">
        <f t="shared" si="5"/>
        <v/>
      </c>
      <c r="T43" s="18" t="str">
        <f t="shared" si="6"/>
        <v/>
      </c>
      <c r="U43" s="19" t="str">
        <f t="shared" si="7"/>
        <v/>
      </c>
      <c r="V43" s="18" t="str">
        <f t="shared" si="8"/>
        <v/>
      </c>
      <c r="W43" s="18" t="str">
        <f t="shared" si="9"/>
        <v/>
      </c>
      <c r="X43" s="18" t="str">
        <f t="shared" si="10"/>
        <v/>
      </c>
      <c r="Y43" s="20" t="str">
        <f t="shared" si="11"/>
        <v/>
      </c>
      <c r="Z43" s="20" t="str">
        <f t="shared" si="12"/>
        <v/>
      </c>
      <c r="AA43" s="18"/>
      <c r="AB43" s="20" t="str">
        <f t="shared" si="13"/>
        <v/>
      </c>
    </row>
    <row r="44" spans="1:28">
      <c r="A44" s="15"/>
      <c r="B44" s="15"/>
      <c r="C44" s="15"/>
      <c r="D44" s="15"/>
      <c r="E44" s="15"/>
      <c r="F44" s="15"/>
      <c r="G44" s="15"/>
      <c r="H44" s="15"/>
      <c r="I44" s="16"/>
      <c r="J44" s="16"/>
      <c r="K44" s="16"/>
      <c r="L44" s="15"/>
      <c r="M44" s="17"/>
      <c r="N44" s="18" t="str">
        <f t="shared" si="0"/>
        <v>fa-home</v>
      </c>
      <c r="O44" s="18" t="str">
        <f t="shared" si="1"/>
        <v/>
      </c>
      <c r="P44" s="18" t="str">
        <f t="shared" si="2"/>
        <v/>
      </c>
      <c r="Q44" s="18" t="str">
        <f t="shared" si="3"/>
        <v/>
      </c>
      <c r="R44" s="18" t="str">
        <f t="shared" si="4"/>
        <v/>
      </c>
      <c r="S44" s="18" t="str">
        <f t="shared" si="5"/>
        <v/>
      </c>
      <c r="T44" s="18" t="str">
        <f t="shared" si="6"/>
        <v/>
      </c>
      <c r="U44" s="19" t="str">
        <f t="shared" si="7"/>
        <v/>
      </c>
      <c r="V44" s="18" t="str">
        <f t="shared" si="8"/>
        <v/>
      </c>
      <c r="W44" s="18" t="str">
        <f t="shared" si="9"/>
        <v/>
      </c>
      <c r="X44" s="18" t="str">
        <f t="shared" si="10"/>
        <v/>
      </c>
      <c r="Y44" s="20" t="str">
        <f t="shared" si="11"/>
        <v/>
      </c>
      <c r="Z44" s="20" t="str">
        <f t="shared" si="12"/>
        <v/>
      </c>
      <c r="AA44" s="18"/>
      <c r="AB44" s="20" t="str">
        <f t="shared" si="13"/>
        <v/>
      </c>
    </row>
    <row r="45" spans="1:28">
      <c r="A45" s="15"/>
      <c r="B45" s="15"/>
      <c r="C45" s="15"/>
      <c r="D45" s="15"/>
      <c r="E45" s="15"/>
      <c r="F45" s="15"/>
      <c r="G45" s="15"/>
      <c r="H45" s="15"/>
      <c r="I45" s="16"/>
      <c r="J45" s="16"/>
      <c r="K45" s="16"/>
      <c r="L45" s="15"/>
      <c r="M45" s="17"/>
      <c r="N45" s="18" t="str">
        <f t="shared" si="0"/>
        <v>fa-home</v>
      </c>
      <c r="O45" s="18" t="str">
        <f t="shared" si="1"/>
        <v/>
      </c>
      <c r="P45" s="18" t="str">
        <f t="shared" si="2"/>
        <v/>
      </c>
      <c r="Q45" s="18" t="str">
        <f t="shared" si="3"/>
        <v/>
      </c>
      <c r="R45" s="18" t="str">
        <f t="shared" si="4"/>
        <v/>
      </c>
      <c r="S45" s="18" t="str">
        <f t="shared" si="5"/>
        <v/>
      </c>
      <c r="T45" s="18" t="str">
        <f t="shared" si="6"/>
        <v/>
      </c>
      <c r="U45" s="19" t="str">
        <f t="shared" si="7"/>
        <v/>
      </c>
      <c r="V45" s="18" t="str">
        <f t="shared" si="8"/>
        <v/>
      </c>
      <c r="W45" s="18" t="str">
        <f t="shared" si="9"/>
        <v/>
      </c>
      <c r="X45" s="18" t="str">
        <f t="shared" si="10"/>
        <v/>
      </c>
      <c r="Y45" s="20" t="str">
        <f t="shared" si="11"/>
        <v/>
      </c>
      <c r="Z45" s="20" t="str">
        <f t="shared" si="12"/>
        <v/>
      </c>
      <c r="AA45" s="18"/>
      <c r="AB45" s="20" t="str">
        <f t="shared" si="13"/>
        <v/>
      </c>
    </row>
    <row r="46" spans="1:28">
      <c r="A46" s="15"/>
      <c r="B46" s="15"/>
      <c r="C46" s="15"/>
      <c r="D46" s="15"/>
      <c r="E46" s="15"/>
      <c r="F46" s="15"/>
      <c r="G46" s="15"/>
      <c r="H46" s="15"/>
      <c r="I46" s="16"/>
      <c r="J46" s="16"/>
      <c r="K46" s="16"/>
      <c r="L46" s="15"/>
      <c r="M46" s="17"/>
      <c r="N46" s="18" t="str">
        <f t="shared" si="0"/>
        <v>fa-home</v>
      </c>
      <c r="O46" s="18" t="str">
        <f t="shared" si="1"/>
        <v/>
      </c>
      <c r="P46" s="18" t="str">
        <f t="shared" si="2"/>
        <v/>
      </c>
      <c r="Q46" s="18" t="str">
        <f t="shared" si="3"/>
        <v/>
      </c>
      <c r="R46" s="18" t="str">
        <f t="shared" si="4"/>
        <v/>
      </c>
      <c r="S46" s="18" t="str">
        <f t="shared" si="5"/>
        <v/>
      </c>
      <c r="T46" s="18" t="str">
        <f t="shared" si="6"/>
        <v/>
      </c>
      <c r="U46" s="19" t="str">
        <f t="shared" si="7"/>
        <v/>
      </c>
      <c r="V46" s="18" t="str">
        <f t="shared" si="8"/>
        <v/>
      </c>
      <c r="W46" s="18" t="str">
        <f t="shared" si="9"/>
        <v/>
      </c>
      <c r="X46" s="18" t="str">
        <f t="shared" si="10"/>
        <v/>
      </c>
      <c r="Y46" s="20" t="str">
        <f t="shared" si="11"/>
        <v/>
      </c>
      <c r="Z46" s="20" t="str">
        <f t="shared" si="12"/>
        <v/>
      </c>
      <c r="AA46" s="18"/>
      <c r="AB46" s="20" t="str">
        <f t="shared" si="13"/>
        <v/>
      </c>
    </row>
    <row r="47" spans="1:28">
      <c r="A47" s="15"/>
      <c r="B47" s="15"/>
      <c r="C47" s="15"/>
      <c r="D47" s="15"/>
      <c r="E47" s="15"/>
      <c r="F47" s="15"/>
      <c r="G47" s="15"/>
      <c r="H47" s="15"/>
      <c r="I47" s="16"/>
      <c r="J47" s="16"/>
      <c r="K47" s="16"/>
      <c r="L47" s="15"/>
      <c r="M47" s="17"/>
      <c r="N47" s="18" t="str">
        <f t="shared" si="0"/>
        <v>fa-home</v>
      </c>
      <c r="O47" s="18" t="str">
        <f t="shared" si="1"/>
        <v/>
      </c>
      <c r="P47" s="18" t="str">
        <f t="shared" si="2"/>
        <v/>
      </c>
      <c r="Q47" s="18" t="str">
        <f t="shared" si="3"/>
        <v/>
      </c>
      <c r="R47" s="18" t="str">
        <f t="shared" si="4"/>
        <v/>
      </c>
      <c r="S47" s="18" t="str">
        <f t="shared" si="5"/>
        <v/>
      </c>
      <c r="T47" s="18" t="str">
        <f t="shared" si="6"/>
        <v/>
      </c>
      <c r="U47" s="19" t="str">
        <f t="shared" si="7"/>
        <v/>
      </c>
      <c r="V47" s="18" t="str">
        <f t="shared" si="8"/>
        <v/>
      </c>
      <c r="W47" s="18" t="str">
        <f t="shared" si="9"/>
        <v/>
      </c>
      <c r="X47" s="18" t="str">
        <f t="shared" si="10"/>
        <v/>
      </c>
      <c r="Y47" s="20" t="str">
        <f t="shared" si="11"/>
        <v/>
      </c>
      <c r="Z47" s="20" t="str">
        <f t="shared" si="12"/>
        <v/>
      </c>
      <c r="AA47" s="18"/>
      <c r="AB47" s="20" t="str">
        <f t="shared" si="13"/>
        <v/>
      </c>
    </row>
    <row r="48" spans="1:28">
      <c r="A48" s="15"/>
      <c r="B48" s="15"/>
      <c r="C48" s="15"/>
      <c r="D48" s="15"/>
      <c r="E48" s="15"/>
      <c r="F48" s="15"/>
      <c r="G48" s="15"/>
      <c r="H48" s="15"/>
      <c r="I48" s="16"/>
      <c r="J48" s="16"/>
      <c r="K48" s="16"/>
      <c r="L48" s="15"/>
      <c r="M48" s="17"/>
      <c r="N48" s="18" t="str">
        <f t="shared" si="0"/>
        <v>fa-home</v>
      </c>
      <c r="O48" s="18" t="str">
        <f t="shared" si="1"/>
        <v/>
      </c>
      <c r="P48" s="18" t="str">
        <f t="shared" si="2"/>
        <v/>
      </c>
      <c r="Q48" s="18" t="str">
        <f t="shared" si="3"/>
        <v/>
      </c>
      <c r="R48" s="18" t="str">
        <f t="shared" si="4"/>
        <v/>
      </c>
      <c r="S48" s="18" t="str">
        <f t="shared" si="5"/>
        <v/>
      </c>
      <c r="T48" s="18" t="str">
        <f t="shared" si="6"/>
        <v/>
      </c>
      <c r="U48" s="19" t="str">
        <f t="shared" si="7"/>
        <v/>
      </c>
      <c r="V48" s="18" t="str">
        <f t="shared" si="8"/>
        <v/>
      </c>
      <c r="W48" s="18" t="str">
        <f t="shared" si="9"/>
        <v/>
      </c>
      <c r="X48" s="18" t="str">
        <f t="shared" si="10"/>
        <v/>
      </c>
      <c r="Y48" s="20" t="str">
        <f t="shared" si="11"/>
        <v/>
      </c>
      <c r="Z48" s="20" t="str">
        <f t="shared" si="12"/>
        <v/>
      </c>
      <c r="AA48" s="18"/>
      <c r="AB48" s="20" t="str">
        <f t="shared" si="13"/>
        <v/>
      </c>
    </row>
    <row r="49" spans="1:28">
      <c r="A49" s="15"/>
      <c r="B49" s="15"/>
      <c r="C49" s="15"/>
      <c r="D49" s="15"/>
      <c r="E49" s="15"/>
      <c r="F49" s="15"/>
      <c r="G49" s="15"/>
      <c r="H49" s="15"/>
      <c r="I49" s="16"/>
      <c r="J49" s="16"/>
      <c r="K49" s="16"/>
      <c r="L49" s="15"/>
      <c r="M49" s="17"/>
      <c r="N49" s="18" t="str">
        <f t="shared" si="0"/>
        <v>fa-home</v>
      </c>
      <c r="O49" s="18" t="str">
        <f t="shared" si="1"/>
        <v/>
      </c>
      <c r="P49" s="18" t="str">
        <f t="shared" si="2"/>
        <v/>
      </c>
      <c r="Q49" s="18" t="str">
        <f t="shared" si="3"/>
        <v/>
      </c>
      <c r="R49" s="18" t="str">
        <f t="shared" si="4"/>
        <v/>
      </c>
      <c r="S49" s="18" t="str">
        <f t="shared" si="5"/>
        <v/>
      </c>
      <c r="T49" s="18" t="str">
        <f t="shared" si="6"/>
        <v/>
      </c>
      <c r="U49" s="19" t="str">
        <f t="shared" si="7"/>
        <v/>
      </c>
      <c r="V49" s="18" t="str">
        <f t="shared" si="8"/>
        <v/>
      </c>
      <c r="W49" s="18" t="str">
        <f t="shared" si="9"/>
        <v/>
      </c>
      <c r="X49" s="18" t="str">
        <f t="shared" si="10"/>
        <v/>
      </c>
      <c r="Y49" s="20" t="str">
        <f t="shared" si="11"/>
        <v/>
      </c>
      <c r="Z49" s="20" t="str">
        <f t="shared" si="12"/>
        <v/>
      </c>
      <c r="AA49" s="18"/>
      <c r="AB49" s="20" t="str">
        <f t="shared" si="13"/>
        <v/>
      </c>
    </row>
    <row r="50" spans="1:28">
      <c r="A50" s="15"/>
      <c r="B50" s="15"/>
      <c r="C50" s="15"/>
      <c r="D50" s="15"/>
      <c r="E50" s="15"/>
      <c r="F50" s="15"/>
      <c r="G50" s="15"/>
      <c r="H50" s="15"/>
      <c r="I50" s="16"/>
      <c r="J50" s="16"/>
      <c r="K50" s="16"/>
      <c r="L50" s="15"/>
      <c r="M50" s="17"/>
      <c r="N50" s="18" t="str">
        <f t="shared" si="0"/>
        <v>fa-home</v>
      </c>
      <c r="O50" s="18" t="str">
        <f t="shared" si="1"/>
        <v/>
      </c>
      <c r="P50" s="18" t="str">
        <f t="shared" si="2"/>
        <v/>
      </c>
      <c r="Q50" s="18" t="str">
        <f t="shared" si="3"/>
        <v/>
      </c>
      <c r="R50" s="18" t="str">
        <f t="shared" si="4"/>
        <v/>
      </c>
      <c r="S50" s="18" t="str">
        <f t="shared" si="5"/>
        <v/>
      </c>
      <c r="T50" s="18" t="str">
        <f t="shared" si="6"/>
        <v/>
      </c>
      <c r="U50" s="19" t="str">
        <f t="shared" si="7"/>
        <v/>
      </c>
      <c r="V50" s="18" t="str">
        <f t="shared" si="8"/>
        <v/>
      </c>
      <c r="W50" s="18" t="str">
        <f t="shared" si="9"/>
        <v/>
      </c>
      <c r="X50" s="18" t="str">
        <f t="shared" si="10"/>
        <v/>
      </c>
      <c r="Y50" s="20" t="str">
        <f t="shared" si="11"/>
        <v/>
      </c>
      <c r="Z50" s="20" t="str">
        <f t="shared" si="12"/>
        <v/>
      </c>
      <c r="AA50" s="18"/>
      <c r="AB50" s="20" t="str">
        <f t="shared" si="13"/>
        <v/>
      </c>
    </row>
    <row r="51" spans="1:28">
      <c r="A51" s="15"/>
      <c r="B51" s="15"/>
      <c r="C51" s="15"/>
      <c r="D51" s="15"/>
      <c r="E51" s="15"/>
      <c r="F51" s="15"/>
      <c r="G51" s="15"/>
      <c r="H51" s="15"/>
      <c r="I51" s="16"/>
      <c r="J51" s="16"/>
      <c r="K51" s="16"/>
      <c r="L51" s="15"/>
      <c r="M51" s="17"/>
      <c r="N51" s="18" t="str">
        <f t="shared" si="0"/>
        <v>fa-home</v>
      </c>
      <c r="O51" s="18" t="str">
        <f t="shared" si="1"/>
        <v/>
      </c>
      <c r="P51" s="18" t="str">
        <f t="shared" si="2"/>
        <v/>
      </c>
      <c r="Q51" s="18" t="str">
        <f t="shared" si="3"/>
        <v/>
      </c>
      <c r="R51" s="18" t="str">
        <f t="shared" si="4"/>
        <v/>
      </c>
      <c r="S51" s="18" t="str">
        <f t="shared" si="5"/>
        <v/>
      </c>
      <c r="T51" s="18" t="str">
        <f t="shared" si="6"/>
        <v/>
      </c>
      <c r="U51" s="19" t="str">
        <f t="shared" si="7"/>
        <v/>
      </c>
      <c r="V51" s="18" t="str">
        <f t="shared" si="8"/>
        <v/>
      </c>
      <c r="W51" s="18" t="str">
        <f t="shared" si="9"/>
        <v/>
      </c>
      <c r="X51" s="18" t="str">
        <f t="shared" si="10"/>
        <v/>
      </c>
      <c r="Y51" s="20" t="str">
        <f t="shared" si="11"/>
        <v/>
      </c>
      <c r="Z51" s="20" t="str">
        <f t="shared" si="12"/>
        <v/>
      </c>
      <c r="AA51" s="18"/>
      <c r="AB51" s="20" t="str">
        <f t="shared" si="13"/>
        <v/>
      </c>
    </row>
    <row r="52" spans="1:28">
      <c r="A52" s="15"/>
      <c r="B52" s="15"/>
      <c r="C52" s="15"/>
      <c r="D52" s="15"/>
      <c r="E52" s="15"/>
      <c r="F52" s="15"/>
      <c r="G52" s="15"/>
      <c r="H52" s="15"/>
      <c r="I52" s="16"/>
      <c r="J52" s="16"/>
      <c r="K52" s="16"/>
      <c r="L52" s="15"/>
      <c r="M52" s="17"/>
      <c r="N52" s="18" t="str">
        <f t="shared" si="0"/>
        <v>fa-home</v>
      </c>
      <c r="O52" s="18" t="str">
        <f t="shared" si="1"/>
        <v/>
      </c>
      <c r="P52" s="18" t="str">
        <f t="shared" si="2"/>
        <v/>
      </c>
      <c r="Q52" s="18" t="str">
        <f t="shared" si="3"/>
        <v/>
      </c>
      <c r="R52" s="18" t="str">
        <f t="shared" si="4"/>
        <v/>
      </c>
      <c r="S52" s="18" t="str">
        <f t="shared" si="5"/>
        <v/>
      </c>
      <c r="T52" s="18" t="str">
        <f t="shared" si="6"/>
        <v/>
      </c>
      <c r="U52" s="19" t="str">
        <f t="shared" si="7"/>
        <v/>
      </c>
      <c r="V52" s="18" t="str">
        <f t="shared" si="8"/>
        <v/>
      </c>
      <c r="W52" s="18" t="str">
        <f t="shared" si="9"/>
        <v/>
      </c>
      <c r="X52" s="18" t="str">
        <f t="shared" si="10"/>
        <v/>
      </c>
      <c r="Y52" s="20" t="str">
        <f t="shared" si="11"/>
        <v/>
      </c>
      <c r="Z52" s="20" t="str">
        <f t="shared" si="12"/>
        <v/>
      </c>
      <c r="AA52" s="18"/>
      <c r="AB52" s="20" t="str">
        <f t="shared" si="13"/>
        <v/>
      </c>
    </row>
    <row r="53" spans="1:28">
      <c r="A53" s="15"/>
      <c r="B53" s="15"/>
      <c r="C53" s="15"/>
      <c r="D53" s="15"/>
      <c r="E53" s="15"/>
      <c r="F53" s="15"/>
      <c r="G53" s="15"/>
      <c r="H53" s="15"/>
      <c r="I53" s="16"/>
      <c r="J53" s="16"/>
      <c r="K53" s="16"/>
      <c r="L53" s="15"/>
      <c r="M53" s="17"/>
      <c r="N53" s="18" t="str">
        <f t="shared" si="0"/>
        <v>fa-home</v>
      </c>
      <c r="O53" s="18" t="str">
        <f t="shared" si="1"/>
        <v/>
      </c>
      <c r="P53" s="18" t="str">
        <f t="shared" si="2"/>
        <v/>
      </c>
      <c r="Q53" s="18" t="str">
        <f t="shared" si="3"/>
        <v/>
      </c>
      <c r="R53" s="18" t="str">
        <f t="shared" si="4"/>
        <v/>
      </c>
      <c r="S53" s="18" t="str">
        <f t="shared" si="5"/>
        <v/>
      </c>
      <c r="T53" s="18" t="str">
        <f t="shared" si="6"/>
        <v/>
      </c>
      <c r="U53" s="19" t="str">
        <f t="shared" si="7"/>
        <v/>
      </c>
      <c r="V53" s="18" t="str">
        <f t="shared" si="8"/>
        <v/>
      </c>
      <c r="W53" s="18" t="str">
        <f t="shared" si="9"/>
        <v/>
      </c>
      <c r="X53" s="18" t="str">
        <f t="shared" si="10"/>
        <v/>
      </c>
      <c r="Y53" s="20" t="str">
        <f t="shared" si="11"/>
        <v/>
      </c>
      <c r="Z53" s="20" t="str">
        <f t="shared" si="12"/>
        <v/>
      </c>
      <c r="AA53" s="18"/>
      <c r="AB53" s="20" t="str">
        <f t="shared" si="13"/>
        <v/>
      </c>
    </row>
    <row r="54" spans="1:28">
      <c r="A54" s="15"/>
      <c r="B54" s="15"/>
      <c r="C54" s="15"/>
      <c r="D54" s="15"/>
      <c r="E54" s="15"/>
      <c r="F54" s="15"/>
      <c r="G54" s="15"/>
      <c r="H54" s="15"/>
      <c r="I54" s="16"/>
      <c r="J54" s="16"/>
      <c r="K54" s="16"/>
      <c r="L54" s="15"/>
      <c r="M54" s="17"/>
      <c r="N54" s="18" t="str">
        <f t="shared" si="0"/>
        <v>fa-home</v>
      </c>
      <c r="O54" s="18" t="str">
        <f t="shared" si="1"/>
        <v/>
      </c>
      <c r="P54" s="18" t="str">
        <f t="shared" si="2"/>
        <v/>
      </c>
      <c r="Q54" s="18" t="str">
        <f t="shared" si="3"/>
        <v/>
      </c>
      <c r="R54" s="18" t="str">
        <f t="shared" si="4"/>
        <v/>
      </c>
      <c r="S54" s="18" t="str">
        <f t="shared" si="5"/>
        <v/>
      </c>
      <c r="T54" s="18" t="str">
        <f t="shared" si="6"/>
        <v/>
      </c>
      <c r="U54" s="19" t="str">
        <f t="shared" si="7"/>
        <v/>
      </c>
      <c r="V54" s="18" t="str">
        <f t="shared" si="8"/>
        <v/>
      </c>
      <c r="W54" s="18" t="str">
        <f t="shared" si="9"/>
        <v/>
      </c>
      <c r="X54" s="18" t="str">
        <f t="shared" si="10"/>
        <v/>
      </c>
      <c r="Y54" s="20" t="str">
        <f t="shared" si="11"/>
        <v/>
      </c>
      <c r="Z54" s="20" t="str">
        <f t="shared" si="12"/>
        <v/>
      </c>
      <c r="AA54" s="18"/>
      <c r="AB54" s="20" t="str">
        <f t="shared" si="13"/>
        <v/>
      </c>
    </row>
  </sheetData>
  <mergeCells count="7">
    <mergeCell ref="A1:Q1"/>
    <mergeCell ref="A2:M2"/>
    <mergeCell ref="E2:G2"/>
    <mergeCell ref="H2:J2"/>
    <mergeCell ref="K2:M2"/>
    <mergeCell ref="L2:X2"/>
    <mergeCell ref="N2:AB2"/>
  </mergeCells>
  <conditionalFormatting sqref="A5:A32">
    <cfRule type="containsText" dxfId="0" priority="2" operator="between" text="inactive">
      <formula>NOT(ISERROR(SEARCH("inactive",A5)))</formula>
    </cfRule>
  </conditionalFormatting>
  <dataValidations count="8">
    <dataValidation type="list" allowBlank="1" sqref="A5:A54">
      <formula1>"active,inactive"</formula1>
    </dataValidation>
    <dataValidation type="list" allowBlank="1" sqref="B5:B54">
      <formula1>"🏢 Condo 公寓,🏠 Apartment 单位,🌿 即租即住,🌿 近国际学校,📌 商业旺铺,🌟 海景豪宅,📈 投资优选,🏞️ 花园住宅,🌟 2026全新地标,📈 海外投资优选,🌆 核心地段,🔥 限时优惠,✅ 永久产权,🏅 高回报,🏖️ 度假胜地,🏫 学区优选,🛣️ 交通便利,🔑 即买即住"</formula1>
    </dataValidation>
    <dataValidation type="list" allowBlank="1" sqref="E5:E54">
      <formula1>"Studio,1,2,3,4,5,6"</formula1>
    </dataValidation>
    <dataValidation type="list" allowBlank="1" sqref="F5:F54">
      <formula1>"1,2,3,4,5"</formula1>
    </dataValidation>
    <dataValidation type="list" allowBlank="1" sqref="I5:I54">
      <formula1>"24小时保安,保安亭,无保安"</formula1>
    </dataValidation>
    <dataValidation type="list" allowBlank="1" sqref="J5:J54">
      <formula1>"CCTV监控,无CCTV监控"</formula1>
    </dataValidation>
    <dataValidation type="list" allowBlank="1" sqref="K5:K54">
      <formula1>"等级1门禁,等级2门禁,等级3门禁,等级4门禁,等级5门禁,等级6门禁,无门禁"</formula1>
    </dataValidation>
    <dataValidation type="list" allowBlank="1" sqref="M5:M54">
      <formula1>"已出租 Rented,已售出 Sold,装修中 Renovating,议价空间 Negotiable,业主急售 Urgent,新上市 New Listing,独家代理 Exclusive,联系业主 Contact Owner,看房需预约 By Appt,短租可议 Short Stay"</formula1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E36209"/>
  </sheetPr>
  <dimension ref="A1:AB54"/>
  <sheetViews>
    <sheetView showGridLines="0" topLeftCell="R1" workbookViewId="0">
      <pane ySplit="4" topLeftCell="A5" activePane="bottomLeft" state="frozen"/>
      <selection/>
      <selection pane="bottomLeft" activeCell="H5" sqref="H5"/>
    </sheetView>
  </sheetViews>
  <sheetFormatPr defaultColWidth="8.67619047619048" defaultRowHeight="15"/>
  <cols>
    <col min="1" max="1" width="10" customWidth="1"/>
    <col min="2" max="3" width="18" customWidth="1"/>
    <col min="4" max="4" width="26" customWidth="1"/>
    <col min="5" max="7" width="10" customWidth="1"/>
    <col min="8" max="8" width="22" customWidth="1"/>
    <col min="9" max="11" width="14" customWidth="1"/>
    <col min="12" max="14" width="12" customWidth="1"/>
    <col min="15" max="17" width="24" customWidth="1"/>
    <col min="18" max="21" width="30" customWidth="1"/>
    <col min="22" max="24" width="20" customWidth="1"/>
    <col min="25" max="26" width="30" customWidth="1"/>
    <col min="27" max="27" width="5" customWidth="1"/>
    <col min="28" max="28" width="30" customWidth="1"/>
  </cols>
  <sheetData>
    <row r="1" ht="31.5" customHeight="1" spans="1:28">
      <c r="A1" s="1" t="s">
        <v>152</v>
      </c>
      <c r="R1" s="1"/>
      <c r="S1" s="1"/>
      <c r="T1" s="1"/>
      <c r="U1" s="1"/>
      <c r="V1" s="1"/>
      <c r="W1" s="1"/>
      <c r="X1" s="1"/>
    </row>
    <row r="2" ht="21.75" customHeight="1" spans="1:28">
      <c r="A2" s="2" t="s">
        <v>110</v>
      </c>
    </row>
    <row r="3" ht="36" customHeight="1" spans="1:28">
      <c r="A3" s="3" t="s">
        <v>111</v>
      </c>
      <c r="B3" s="3" t="s">
        <v>112</v>
      </c>
      <c r="C3" s="3" t="s">
        <v>113</v>
      </c>
      <c r="D3" s="3" t="s">
        <v>114</v>
      </c>
      <c r="E3" s="3" t="s">
        <v>115</v>
      </c>
      <c r="F3" s="3" t="s">
        <v>116</v>
      </c>
      <c r="G3" s="3" t="s">
        <v>117</v>
      </c>
      <c r="H3" s="4" t="s">
        <v>153</v>
      </c>
      <c r="I3" s="5" t="s">
        <v>119</v>
      </c>
      <c r="J3" s="6" t="s">
        <v>120</v>
      </c>
      <c r="K3" s="5" t="s">
        <v>121</v>
      </c>
      <c r="L3" s="3" t="s">
        <v>122</v>
      </c>
      <c r="M3" s="7" t="s">
        <v>123</v>
      </c>
      <c r="N3" s="8" t="s">
        <v>124</v>
      </c>
      <c r="O3" s="9" t="s">
        <v>125</v>
      </c>
      <c r="P3" s="8" t="s">
        <v>126</v>
      </c>
      <c r="Q3" s="8" t="s">
        <v>127</v>
      </c>
      <c r="R3" s="9" t="s">
        <v>128</v>
      </c>
      <c r="S3" s="8" t="s">
        <v>129</v>
      </c>
      <c r="T3" s="8" t="s">
        <v>130</v>
      </c>
      <c r="U3" s="9" t="s">
        <v>151</v>
      </c>
      <c r="V3" s="9" t="s">
        <v>132</v>
      </c>
      <c r="W3" s="8" t="s">
        <v>133</v>
      </c>
      <c r="X3" s="8" t="s">
        <v>134</v>
      </c>
      <c r="Y3" s="10" t="s">
        <v>135</v>
      </c>
      <c r="Z3" s="10" t="s">
        <v>136</v>
      </c>
      <c r="AA3" s="8" t="s">
        <v>137</v>
      </c>
      <c r="AB3" s="10" t="s">
        <v>138</v>
      </c>
    </row>
    <row r="4" ht="18" customHeight="1" spans="1:28">
      <c r="A4" s="11" t="s">
        <v>139</v>
      </c>
      <c r="B4" s="12" t="s">
        <v>140</v>
      </c>
      <c r="C4" s="12" t="s">
        <v>141</v>
      </c>
      <c r="D4" s="13" t="s">
        <v>142</v>
      </c>
      <c r="E4" s="12" t="s">
        <v>15</v>
      </c>
      <c r="F4" s="12" t="s">
        <v>11</v>
      </c>
      <c r="G4" s="12" t="s">
        <v>143</v>
      </c>
      <c r="H4" s="14" t="s">
        <v>154</v>
      </c>
      <c r="I4" s="12" t="s">
        <v>72</v>
      </c>
      <c r="J4" s="12" t="s">
        <v>80</v>
      </c>
      <c r="K4" s="13" t="s">
        <v>89</v>
      </c>
      <c r="L4" s="12" t="s">
        <v>96</v>
      </c>
      <c r="M4" s="13" t="s">
        <v>145</v>
      </c>
    </row>
    <row r="5" ht="51.75" customHeight="1" spans="1:28">
      <c r="A5" s="15"/>
      <c r="B5" s="15"/>
      <c r="C5" s="15"/>
      <c r="D5" s="15"/>
      <c r="E5" s="15"/>
      <c r="F5" s="15"/>
      <c r="G5" s="15"/>
      <c r="H5" s="15"/>
      <c r="I5" s="16"/>
      <c r="J5" s="16"/>
      <c r="K5" s="16"/>
      <c r="L5" s="15"/>
      <c r="M5" s="17"/>
      <c r="N5" s="18" t="str">
        <f t="shared" ref="N5:N54" si="0">IFERROR(_xlfn.IFS(B5="🏢 Condo 公寓","fa-building",B5="🏠 Apartment 单位","fa-home",B5="🌿 即租即住","fa-home",B5="🌿 近国际学校","fa-school",B5="📌 商业旺铺","fa-store",B5="🌟 海景豪宅","fa-water-ladder",B5="📈 投资优选","fa-chart-line",B5="🏞️ 花园住宅","fa-tree",B5="🌟 2026全新地标","fa-drafting-compass",B5="📈 海外投资优选","fa-globe",B5="🌆 核心地段","fa-city",B5="🔥 限时优惠","fa-fire",B5="✅ 永久产权","fa-certificate",B5="🏅 高回报","fa-medal",B5="🏖️ 度假胜地","fa-umbrella-beach",B5="🏫 学区优选","fa-graduation-cap",B5="🛣️ 交通便利","fa-road",B5="🔑 即买即住","fa-key"),"fa-home")</f>
        <v>fa-home</v>
      </c>
      <c r="O5" s="18" t="str">
        <f t="shared" ref="O5:O54" si="1">IF(D5&lt;&gt;"",D5,"")</f>
        <v/>
      </c>
      <c r="P5" s="18" t="str">
        <f t="shared" ref="P5:P54" si="2">IF(D5&lt;&gt;"",SUBSTITUTE(SUBSTITUTE(SUBSTITUTE(SUBSTITUTE(SUBSTITUTE(SUBSTITUTE(SUBSTITUTE(SUBSTITUTE(SUBSTITUTE(SUBSTITUTE(D5,"亚庇","Kota Kinabalu"),"公寓","Condo"),"排屋","Terrace"),"别墅","Villa"),"店铺","Shop"),"新山","Johor Bahru"),"市中心","City Centre"),"高级","Premium"),"单位","Unit"),"住宅","Residence"),"")</f>
        <v/>
      </c>
      <c r="Q5" s="18" t="str">
        <f t="shared" ref="Q5:Q54" si="3">IF(D5&lt;&gt;"",SUBSTITUTE(SUBSTITUTE(SUBSTITUTE(SUBSTITUTE(SUBSTITUTE(SUBSTITUTE(SUBSTITUTE(SUBSTITUTE(SUBSTITUTE(SUBSTITUTE(D5,"亚庇","Kota Kinabalu"),"公寓","Kondominium"),"排屋","Rumah Teres"),"别墅","Vila"),"店铺","Kedai"),"新山","Johor Bahru"),"市中心","Pusat Bandar"),"高级","Premium"),"单位","Unit"),"住宅","Kediaman"),"")</f>
        <v/>
      </c>
      <c r="R5" s="18" t="str">
        <f t="shared" ref="R5:R54" si="4">IF(D5&lt;&gt;"","📍 "&amp;IF(E5&lt;&gt;"",E5&amp;"房","")&amp;IF(F5&lt;&gt;"",F5&amp;"卫 ","")&amp;IF(G5&lt;&gt;"",G5&amp;" sqft","")&amp;IF(AND(OR(E5&lt;&gt;"",G5&lt;&gt;""),H5&lt;&gt;"")," · ","")&amp;IF(H5&lt;&gt;"",H5,""),"")</f>
        <v/>
      </c>
      <c r="S5" s="18" t="str">
        <f t="shared" ref="S5:S54" si="5">IF(D5&lt;&gt;"","📍 "&amp;IF(E5&lt;&gt;"",E5&amp;"BR ","")&amp;IF(F5&lt;&gt;"",F5&amp;"BA ","")&amp;IF(G5&lt;&gt;"",G5&amp;" sqft","")&amp;IF(AND(OR(E5&lt;&gt;"",G5&lt;&gt;""),H5&lt;&gt;"")," · ","")&amp;IF(H5&lt;&gt;"",SUBSTITUTE(SUBSTITUTE(SUBSTITUTE(SUBSTITUTE(SUBSTITUTE(SUBSTITUTE(SUBSTITUTE(SUBSTITUTE(SUBSTITUTE(SUBSTITUTE(H5,"游泳池","Swimming Pool"),"健身室","Gym"),"儿童乐园","Kids Play Area"),"BBQ区","BBQ Area"),"会所","Clubhouse"),"网球场","Tennis Court"),"篮球场","Basketball Court"),"停车场","Parking"),"便利店","Mini Mart"),"咖啡厅","Cafe"),""),"")</f>
        <v/>
      </c>
      <c r="T5" s="18" t="str">
        <f t="shared" ref="T5:T54" si="6">IF(D5&lt;&gt;"","📍 "&amp;IF(E5&lt;&gt;"",E5&amp;"Bilik ","")&amp;IF(F5&lt;&gt;"",F5&amp;"Bilik Air ","")&amp;IF(G5&lt;&gt;"",G5&amp;" sqft","")&amp;IF(AND(OR(E5&lt;&gt;"",G5&lt;&gt;""),H5&lt;&gt;"")," · ","")&amp;IF(H5&lt;&gt;"",SUBSTITUTE(SUBSTITUTE(SUBSTITUTE(SUBSTITUTE(SUBSTITUTE(SUBSTITUTE(SUBSTITUTE(SUBSTITUTE(SUBSTITUTE(SUBSTITUTE(H5,"游泳池","Kolam Renang"),"健身室","Gim"),"儿童乐园","Kawasan Permainan"),"BBQ区","Kawasan BBQ"),"会所","Kelab"),"网球场","Gelanggang Tenis"),"篮球场","Gelanggang Bola"),"停车场","Tempat Letak"),"便利店","Kedai Mini"),"咖啡厅","Kafe"),""),"")</f>
        <v/>
      </c>
      <c r="U5" s="19" t="str">
        <f t="shared" ref="U5:U54" si="7">IF(OR(I5&lt;&gt;"",J5&lt;&gt;"",K5&lt;&gt;""),"🔒 "&amp;IF(I5&lt;&gt;"",I5,"")&amp;IF(AND(I5&lt;&gt;"",J5&lt;&gt;"")," · ","")&amp;IF(J5&lt;&gt;"",J5,"")&amp;IF(AND(OR(I5&lt;&gt;"",J5&lt;&gt;""),K5&lt;&gt;"")," · ","")&amp;IF(K5&lt;&gt;"",K5,""),"")</f>
        <v/>
      </c>
      <c r="V5" s="18" t="str">
        <f t="shared" ref="V5:V54" si="8">IF(L5&lt;&gt;"","💰 起价 RM "&amp;TEXT(L5,"#,##0"),"")</f>
        <v/>
      </c>
      <c r="W5" s="18" t="str">
        <f t="shared" ref="W5:W54" si="9">IF(L5&lt;&gt;"","💰 From RM "&amp;TEXT(L5,"#,##0"),"")</f>
        <v/>
      </c>
      <c r="X5" s="18" t="str">
        <f t="shared" ref="X5:X54" si="10">IF(L5&lt;&gt;"","💰 Dari RM "&amp;TEXT(L5,"#,##0"),"")</f>
        <v/>
      </c>
      <c r="Y5" s="20" t="str">
        <f t="shared" ref="Y5:Y54" si="11">IF(D5&lt;&gt;"","您好！我想咨询新楼盘：
🏠 "&amp;D5&amp;"
"&amp;IF(E5&lt;&gt;"","🛏 "&amp;E5&amp;"房"&amp;IF(F5&lt;&gt;""," "&amp;F5&amp;"卫","")&amp;"
","")&amp;IF(G5&lt;&gt;"","📐 "&amp;G5&amp;" sqft
","")&amp;IF(H5&lt;&gt;"","🏊 "&amp;H5&amp;"
","")&amp;IF(U5&lt;&gt;"",U5&amp;"
","")&amp;IF(L5&lt;&gt;"","💰 起价 RM "&amp;TEXT(L5,"#,##0")&amp;"
","")&amp;"
请问还有空档吗？谢谢！","")</f>
        <v/>
      </c>
      <c r="Z5" s="20" t="str">
        <f t="shared" ref="Z5:Z54" si="12">IF(D5&lt;&gt;"","Hi! I'd like to make a new launch enquiry:
🏠 "&amp;P5&amp;"
"&amp;IF(E5&lt;&gt;"","🛏 "&amp;E5&amp;"BR"&amp;IF(F5&lt;&gt;""," "&amp;F5&amp;"BA","")&amp;"
","")&amp;IF(G5&lt;&gt;"","📐 "&amp;G5&amp;" sqft
","")&amp;IF(H5&lt;&gt;"","🏊 "&amp;SUBSTITUTE(SUBSTITUTE(SUBSTITUTE(SUBSTITUTE(SUBSTITUTE(SUBSTITUTE(SUBSTITUTE(SUBSTITUTE(SUBSTITUTE(SUBSTITUTE(H5,"游泳池","Swimming Pool"),"健身室","Gym"),"儿童乐园","Kids Play Area"),"BBQ区","BBQ Area"),"会所","Clubhouse"),"网球场","Tennis Court"),"篮球场","Basketball Court"),"停车场","Parking"),"便利店","Mini Mart"),"咖啡厅","Cafe")&amp;"
","")&amp;IF(IF(OR(I5&lt;&gt;"",J5&lt;&gt;"",K5&lt;&gt;""),"🔒 "&amp;IF(I5&lt;&gt;"",SUBSTITUTE(SUBSTITUTE(SUBSTITUTE(SUBSTITUTE(SUBSTITUTE(SUBSTITUTE(SUBSTITUTE(SUBSTITUTE(SUBSTITUTE(SUBSTITUTE(SUBSTITUTE(SUBSTITUTE(I5,"24小时保安","24hr Guard"),"保安亭","Guardhouse"),"无保安","No Guard"),"CCTV监控","CCTV"),"无CCTV监控","No CCTV"),"等级1门禁","Lvl 1 Access"),"等级2门禁","Lvl 2 Access"),"等级3门禁","Lvl 3 Access"),"等级4门禁","Lvl 4 Access"),"等级5门禁","Lvl 5 Access"),"等级6门禁","Lvl 6 Access"),"无门禁","No Access Control"),"")&amp;IF(AND(I5&lt;&gt;"",OR(J5&lt;&gt;"",K5&lt;&gt;""))," · ","")&amp;IF(J5&lt;&gt;"",SUBSTITUTE(SUBSTITUTE(SUBSTITUTE(SUBSTITUTE(SUBSTITUTE(SUBSTITUTE(SUBSTITUTE(SUBSTITUTE(SUBSTITUTE(SUBSTITUTE(SUBSTITUTE(SUBSTITUTE(J5,"24小时保安","24hr Guard"),"保安亭","Guardhouse"),"无保安","No Guard"),"CCTV监控","CCTV"),"无CCTV监控","No CCTV"),"等级1门禁","Lvl 1 Access"),"等级2门禁","Lvl 2 Access"),"等级3门禁","Lvl 3 Access"),"等级4门禁","Lvl 4 Access"),"等级5门禁","Lvl 5 Access"),"等级6门禁","Lvl 6 Access"),"无门禁","No Access Control"),"")&amp;IF(AND(J5&lt;&gt;"",K5&lt;&gt;"")," · ","")&amp;IF(K5&lt;&gt;"",SUBSTITUTE(SUBSTITUTE(SUBSTITUTE(SUBSTITUTE(SUBSTITUTE(SUBSTITUTE(SUBSTITUTE(SUBSTITUTE(SUBSTITUTE(SUBSTITUTE(SUBSTITUTE(SUBSTITUTE(K5,"24小时保安","24hr Guard"),"保安亭","Guardhouse"),"无保安","No Guard"),"CCTV监控","CCTV"),"无CCTV监控","No CCTV"),"等级1门禁","Lvl 1 Access"),"等级2门禁","Lvl 2 Access"),"等级3门禁","Lvl 3 Access"),"等级4门禁","Lvl 4 Access"),"等级5门禁","Lvl 5 Access"),"等级6门禁","Lvl 6 Access"),"无门禁","No Access Control"),""),"")&lt;&gt;"",IF(OR(I5&lt;&gt;"",J5&lt;&gt;"",K5&lt;&gt;""),"🔒 "&amp;IF(I5&lt;&gt;"",SUBSTITUTE(SUBSTITUTE(SUBSTITUTE(SUBSTITUTE(SUBSTITUTE(SUBSTITUTE(SUBSTITUTE(SUBSTITUTE(SUBSTITUTE(SUBSTITUTE(SUBSTITUTE(SUBSTITUTE(I5,"24小时保安","24hr Guard"),"保安亭","Guardhouse"),"无保安","No Guard"),"CCTV监控","CCTV"),"无CCTV监控","No CCTV"),"等级1门禁","Lvl 1 Access"),"等级2门禁","Lvl 2 Access"),"等级3门禁","Lvl 3 Access"),"等级4门禁","Lvl 4 Access"),"等级5门禁","Lvl 5 Access"),"等级6门禁","Lvl 6 Access"),"无门禁","No Access Control"),"")&amp;IF(AND(I5&lt;&gt;"",OR(J5&lt;&gt;"",K5&lt;&gt;""))," · ","")&amp;IF(J5&lt;&gt;"",SUBSTITUTE(SUBSTITUTE(SUBSTITUTE(SUBSTITUTE(SUBSTITUTE(SUBSTITUTE(SUBSTITUTE(SUBSTITUTE(SUBSTITUTE(SUBSTITUTE(SUBSTITUTE(SUBSTITUTE(J5,"24小时保安","24hr Guard"),"保安亭","Guardhouse"),"无保安","No Guard"),"CCTV监控","CCTV"),"无CCTV监控","No CCTV"),"等级1门禁","Lvl 1 Access"),"等级2门禁","Lvl 2 Access"),"等级3门禁","Lvl 3 Access"),"等级4门禁","Lvl 4 Access"),"等级5门禁","Lvl 5 Access"),"等级6门禁","Lvl 6 Access"),"无门禁","No Access Control"),"")&amp;IF(AND(J5&lt;&gt;"",K5&lt;&gt;"")," · ","")&amp;IF(K5&lt;&gt;"",SUBSTITUTE(SUBSTITUTE(SUBSTITUTE(SUBSTITUTE(SUBSTITUTE(SUBSTITUTE(SUBSTITUTE(SUBSTITUTE(SUBSTITUTE(SUBSTITUTE(SUBSTITUTE(SUBSTITUTE(K5,"24小时保安","24hr Guard"),"保安亭","Guardhouse"),"无保安","No Guard"),"CCTV监控","CCTV"),"无CCTV监控","No CCTV"),"等级1门禁","Lvl 1 Access"),"等级2门禁","Lvl 2 Access"),"等级3门禁","Lvl 3 Access"),"等级4门禁","Lvl 4 Access"),"等级5门禁","Lvl 5 Access"),"等级6门禁","Lvl 6 Access"),"无门禁","No Access Control"),""),"")&amp;"
","")&amp;IF(L5&lt;&gt;"","💰 From RM "&amp;TEXT(L5,"#,##0")&amp;"
","")&amp;"
Is this still available? Thank you!","")</f>
        <v/>
      </c>
      <c r="AA5" s="18"/>
      <c r="AB5" s="20" t="str">
        <f t="shared" ref="AB5:AB54" si="13">IF(D5&lt;&gt;"","Helo! Saya ingin membuat pertanyaan projek baru:
🏠 "&amp;Q5&amp;"
"&amp;IF(E5&lt;&gt;"","🛏 "&amp;E5&amp;"Bilik"&amp;IF(F5&lt;&gt;""," "&amp;F5&amp;"Bilik Air","")&amp;"
","")&amp;IF(G5&lt;&gt;"","📐 "&amp;G5&amp;" sqft
","")&amp;IF(H5&lt;&gt;"","🏊 "&amp;SUBSTITUTE(SUBSTITUTE(SUBSTITUTE(SUBSTITUTE(SUBSTITUTE(SUBSTITUTE(SUBSTITUTE(SUBSTITUTE(SUBSTITUTE(SUBSTITUTE(H5,"游泳池","Kolam Renang"),"健身室","Gim"),"儿童乐园","Kawasan Permainan"),"BBQ区","Kawasan BBQ"),"会所","Kelab"),"网球场","Gelanggang Tenis"),"篮球场","Gelanggang Bola"),"停车场","Tempat Letak"),"便利店","Kedai Mini"),"咖啡厅","Kafe")&amp;"
","")&amp;IF(IF(OR(I5&lt;&gt;"",J5&lt;&gt;"",K5&lt;&gt;""),"🔒 "&amp;IF(I5&lt;&gt;"",SUBSTITUTE(SUBSTITUTE(SUBSTITUTE(SUBSTITUTE(SUBSTITUTE(SUBSTITUTE(SUBSTITUTE(SUBSTITUTE(SUBSTITUTE(SUBSTITUTE(SUBSTITUTE(SUBSTITUTE(I5,"24小时保安","Pengawal 24j"),"保安亭","Guardhouse"),"无保安","Tiada Pengawal"),"CCTV监控","CCTV"),"无CCTV监控","Tiada CCTV"),"等级1门禁","Akses Thn 1"),"等级2门禁","Akses Thn 2"),"等级3门禁","Akses Thn 3"),"等级4门禁","Akses Thn 4"),"等级5门禁","Akses Thn 5"),"等级6门禁","Akses Thn 6"),"无门禁","Tiada Kawalan"),"")&amp;IF(AND(I5&lt;&gt;"",OR(J5&lt;&gt;"",K5&lt;&gt;""))," · ","")&amp;IF(J5&lt;&gt;"",SUBSTITUTE(SUBSTITUTE(SUBSTITUTE(SUBSTITUTE(SUBSTITUTE(SUBSTITUTE(SUBSTITUTE(SUBSTITUTE(SUBSTITUTE(SUBSTITUTE(SUBSTITUTE(SUBSTITUTE(J5,"24小时保安","Pengawal 24j"),"保安亭","Guardhouse"),"无保安","Tiada Pengawal"),"CCTV监控","CCTV"),"无CCTV监控","Tiada CCTV"),"等级1门禁","Akses Thn 1"),"等级2门禁","Akses Thn 2"),"等级3门禁","Akses Thn 3"),"等级4门禁","Akses Thn 4"),"等级5门禁","Akses Thn 5"),"等级6门禁","Akses Thn 6"),"无门禁","Tiada Kawalan"),"")&amp;IF(AND(J5&lt;&gt;"",K5&lt;&gt;"")," · ","")&amp;IF(K5&lt;&gt;"",SUBSTITUTE(SUBSTITUTE(SUBSTITUTE(SUBSTITUTE(SUBSTITUTE(SUBSTITUTE(SUBSTITUTE(SUBSTITUTE(SUBSTITUTE(SUBSTITUTE(SUBSTITUTE(SUBSTITUTE(K5,"24小时保安","Pengawal 24j"),"保安亭","Guardhouse"),"无保安","Tiada Pengawal"),"CCTV监控","CCTV"),"无CCTV监控","Tiada CCTV"),"等级1门禁","Akses Thn 1"),"等级2门禁","Akses Thn 2"),"等级3门禁","Akses Thn 3"),"等级4门禁","Akses Thn 4"),"等级5门禁","Akses Thn 5"),"等级6门禁","Akses Thn 6"),"无门禁","Tiada Kawalan"),""),"")&lt;&gt;"",IF(OR(I5&lt;&gt;"",J5&lt;&gt;"",K5&lt;&gt;""),"🔒 "&amp;IF(I5&lt;&gt;"",SUBSTITUTE(SUBSTITUTE(SUBSTITUTE(SUBSTITUTE(SUBSTITUTE(SUBSTITUTE(SUBSTITUTE(SUBSTITUTE(SUBSTITUTE(SUBSTITUTE(SUBSTITUTE(SUBSTITUTE(I5,"24小时保安","Pengawal 24j"),"保安亭","Guardhouse"),"无保安","Tiada Pengawal"),"CCTV监控","CCTV"),"无CCTV监控","Tiada CCTV"),"等级1门禁","Akses Thn 1"),"等级2门禁","Akses Thn 2"),"等级3门禁","Akses Thn 3"),"等级4门禁","Akses Thn 4"),"等级5门禁","Akses Thn 5"),"等级6门禁","Akses Thn 6"),"无门禁","Tiada Kawalan"),"")&amp;IF(AND(I5&lt;&gt;"",OR(J5&lt;&gt;"",K5&lt;&gt;""))," · ","")&amp;IF(J5&lt;&gt;"",SUBSTITUTE(SUBSTITUTE(SUBSTITUTE(SUBSTITUTE(SUBSTITUTE(SUBSTITUTE(SUBSTITUTE(SUBSTITUTE(SUBSTITUTE(SUBSTITUTE(SUBSTITUTE(SUBSTITUTE(J5,"24小时保安","Pengawal 24j"),"保安亭","Guardhouse"),"无保安","Tiada Pengawal"),"CCTV监控","CCTV"),"无CCTV监控","Tiada CCTV"),"等级1门禁","Akses Thn 1"),"等级2门禁","Akses Thn 2"),"等级3门禁","Akses Thn 3"),"等级4门禁","Akses Thn 4"),"等级5门禁","Akses Thn 5"),"等级6门禁","Akses Thn 6"),"无门禁","Tiada Kawalan"),"")&amp;IF(AND(J5&lt;&gt;"",K5&lt;&gt;"")," · ","")&amp;IF(K5&lt;&gt;"",SUBSTITUTE(SUBSTITUTE(SUBSTITUTE(SUBSTITUTE(SUBSTITUTE(SUBSTITUTE(SUBSTITUTE(SUBSTITUTE(SUBSTITUTE(SUBSTITUTE(SUBSTITUTE(SUBSTITUTE(K5,"24小时保安","Pengawal 24j"),"保安亭","Guardhouse"),"无保安","Tiada Pengawal"),"CCTV监控","CCTV"),"无CCTV监控","Tiada CCTV"),"等级1门禁","Akses Thn 1"),"等级2门禁","Akses Thn 2"),"等级3门禁","Akses Thn 3"),"等级4门禁","Akses Thn 4"),"等级5门禁","Akses Thn 5"),"等级6门禁","Akses Thn 6"),"无门禁","Tiada Kawalan"),""),"")&amp;"
","")&amp;IF(L5&lt;&gt;"","💰 Dari RM "&amp;TEXT(L5,"#,##0")&amp;"
","")&amp;"
Adakah masih tersedia? Terima kasih!","")</f>
        <v/>
      </c>
    </row>
    <row r="6" ht="51.75" customHeight="1" spans="1:28">
      <c r="A6" s="15"/>
      <c r="B6" s="15"/>
      <c r="C6" s="15"/>
      <c r="D6" s="15"/>
      <c r="E6" s="15"/>
      <c r="F6" s="15"/>
      <c r="G6" s="15"/>
      <c r="H6" s="15"/>
      <c r="I6" s="16"/>
      <c r="J6" s="16"/>
      <c r="K6" s="16"/>
      <c r="L6" s="15"/>
      <c r="M6" s="17"/>
      <c r="N6" s="18" t="str">
        <f t="shared" si="0"/>
        <v>fa-home</v>
      </c>
      <c r="O6" s="18" t="str">
        <f t="shared" si="1"/>
        <v/>
      </c>
      <c r="P6" s="18" t="str">
        <f t="shared" si="2"/>
        <v/>
      </c>
      <c r="Q6" s="18" t="str">
        <f t="shared" si="3"/>
        <v/>
      </c>
      <c r="R6" s="18" t="str">
        <f t="shared" si="4"/>
        <v/>
      </c>
      <c r="S6" s="18" t="str">
        <f t="shared" si="5"/>
        <v/>
      </c>
      <c r="T6" s="18" t="str">
        <f t="shared" si="6"/>
        <v/>
      </c>
      <c r="U6" s="19" t="str">
        <f t="shared" si="7"/>
        <v/>
      </c>
      <c r="V6" s="18" t="str">
        <f t="shared" si="8"/>
        <v/>
      </c>
      <c r="W6" s="18" t="str">
        <f t="shared" si="9"/>
        <v/>
      </c>
      <c r="X6" s="18" t="str">
        <f t="shared" si="10"/>
        <v/>
      </c>
      <c r="Y6" s="20" t="str">
        <f t="shared" si="11"/>
        <v/>
      </c>
      <c r="Z6" s="20" t="str">
        <f t="shared" si="12"/>
        <v/>
      </c>
      <c r="AA6" s="18"/>
      <c r="AB6" s="20" t="str">
        <f t="shared" si="13"/>
        <v/>
      </c>
    </row>
    <row r="7" ht="51.75" customHeight="1" spans="1:28">
      <c r="A7" s="15"/>
      <c r="B7" s="15"/>
      <c r="C7" s="15"/>
      <c r="D7" s="15"/>
      <c r="E7" s="15"/>
      <c r="F7" s="15"/>
      <c r="G7" s="15"/>
      <c r="H7" s="15"/>
      <c r="I7" s="16"/>
      <c r="J7" s="16"/>
      <c r="K7" s="16"/>
      <c r="L7" s="15"/>
      <c r="M7" s="17"/>
      <c r="N7" s="18" t="str">
        <f t="shared" si="0"/>
        <v>fa-home</v>
      </c>
      <c r="O7" s="18" t="str">
        <f t="shared" si="1"/>
        <v/>
      </c>
      <c r="P7" s="18" t="str">
        <f t="shared" si="2"/>
        <v/>
      </c>
      <c r="Q7" s="18" t="str">
        <f t="shared" si="3"/>
        <v/>
      </c>
      <c r="R7" s="18" t="str">
        <f t="shared" si="4"/>
        <v/>
      </c>
      <c r="S7" s="18" t="str">
        <f t="shared" si="5"/>
        <v/>
      </c>
      <c r="T7" s="18" t="str">
        <f t="shared" si="6"/>
        <v/>
      </c>
      <c r="U7" s="19" t="str">
        <f t="shared" si="7"/>
        <v/>
      </c>
      <c r="V7" s="18" t="str">
        <f t="shared" si="8"/>
        <v/>
      </c>
      <c r="W7" s="18" t="str">
        <f t="shared" si="9"/>
        <v/>
      </c>
      <c r="X7" s="18" t="str">
        <f t="shared" si="10"/>
        <v/>
      </c>
      <c r="Y7" s="20" t="str">
        <f t="shared" si="11"/>
        <v/>
      </c>
      <c r="Z7" s="20" t="str">
        <f t="shared" si="12"/>
        <v/>
      </c>
      <c r="AA7" s="18"/>
      <c r="AB7" s="20" t="str">
        <f t="shared" si="13"/>
        <v/>
      </c>
    </row>
    <row r="8" ht="51.75" customHeight="1" spans="1:28">
      <c r="A8" s="15"/>
      <c r="B8" s="15"/>
      <c r="C8" s="15"/>
      <c r="D8" s="15"/>
      <c r="E8" s="15"/>
      <c r="F8" s="15"/>
      <c r="G8" s="15"/>
      <c r="H8" s="15"/>
      <c r="I8" s="16"/>
      <c r="J8" s="16"/>
      <c r="K8" s="16"/>
      <c r="L8" s="15"/>
      <c r="M8" s="17"/>
      <c r="N8" s="18" t="str">
        <f t="shared" si="0"/>
        <v>fa-home</v>
      </c>
      <c r="O8" s="18" t="str">
        <f t="shared" si="1"/>
        <v/>
      </c>
      <c r="P8" s="18" t="str">
        <f t="shared" si="2"/>
        <v/>
      </c>
      <c r="Q8" s="18" t="str">
        <f t="shared" si="3"/>
        <v/>
      </c>
      <c r="R8" s="18" t="str">
        <f t="shared" si="4"/>
        <v/>
      </c>
      <c r="S8" s="18" t="str">
        <f t="shared" si="5"/>
        <v/>
      </c>
      <c r="T8" s="18" t="str">
        <f t="shared" si="6"/>
        <v/>
      </c>
      <c r="U8" s="19" t="str">
        <f t="shared" si="7"/>
        <v/>
      </c>
      <c r="V8" s="18" t="str">
        <f t="shared" si="8"/>
        <v/>
      </c>
      <c r="W8" s="18" t="str">
        <f t="shared" si="9"/>
        <v/>
      </c>
      <c r="X8" s="18" t="str">
        <f t="shared" si="10"/>
        <v/>
      </c>
      <c r="Y8" s="20" t="str">
        <f t="shared" si="11"/>
        <v/>
      </c>
      <c r="Z8" s="20" t="str">
        <f t="shared" si="12"/>
        <v/>
      </c>
      <c r="AA8" s="18"/>
      <c r="AB8" s="20" t="str">
        <f t="shared" si="13"/>
        <v/>
      </c>
    </row>
    <row r="9" ht="51.75" customHeight="1" spans="1:28">
      <c r="A9" s="15"/>
      <c r="B9" s="15"/>
      <c r="C9" s="15"/>
      <c r="D9" s="15"/>
      <c r="E9" s="15"/>
      <c r="F9" s="15"/>
      <c r="G9" s="15"/>
      <c r="H9" s="15"/>
      <c r="I9" s="16"/>
      <c r="J9" s="16"/>
      <c r="K9" s="16"/>
      <c r="L9" s="15"/>
      <c r="M9" s="17"/>
      <c r="N9" s="18" t="str">
        <f t="shared" si="0"/>
        <v>fa-home</v>
      </c>
      <c r="O9" s="18" t="str">
        <f t="shared" si="1"/>
        <v/>
      </c>
      <c r="P9" s="18" t="str">
        <f t="shared" si="2"/>
        <v/>
      </c>
      <c r="Q9" s="18" t="str">
        <f t="shared" si="3"/>
        <v/>
      </c>
      <c r="R9" s="18" t="str">
        <f t="shared" si="4"/>
        <v/>
      </c>
      <c r="S9" s="18" t="str">
        <f t="shared" si="5"/>
        <v/>
      </c>
      <c r="T9" s="18" t="str">
        <f t="shared" si="6"/>
        <v/>
      </c>
      <c r="U9" s="19" t="str">
        <f t="shared" si="7"/>
        <v/>
      </c>
      <c r="V9" s="18" t="str">
        <f t="shared" si="8"/>
        <v/>
      </c>
      <c r="W9" s="18" t="str">
        <f t="shared" si="9"/>
        <v/>
      </c>
      <c r="X9" s="18" t="str">
        <f t="shared" si="10"/>
        <v/>
      </c>
      <c r="Y9" s="20" t="str">
        <f t="shared" si="11"/>
        <v/>
      </c>
      <c r="Z9" s="20" t="str">
        <f t="shared" si="12"/>
        <v/>
      </c>
      <c r="AA9" s="18"/>
      <c r="AB9" s="20" t="str">
        <f t="shared" si="13"/>
        <v/>
      </c>
    </row>
    <row r="10" ht="51.75" customHeight="1" spans="1:28">
      <c r="A10" s="15"/>
      <c r="B10" s="15"/>
      <c r="C10" s="15"/>
      <c r="D10" s="15"/>
      <c r="E10" s="15"/>
      <c r="F10" s="15"/>
      <c r="G10" s="15"/>
      <c r="H10" s="15"/>
      <c r="I10" s="16"/>
      <c r="J10" s="16"/>
      <c r="K10" s="16"/>
      <c r="L10" s="15"/>
      <c r="M10" s="17"/>
      <c r="N10" s="18" t="str">
        <f t="shared" si="0"/>
        <v>fa-home</v>
      </c>
      <c r="O10" s="18" t="str">
        <f t="shared" si="1"/>
        <v/>
      </c>
      <c r="P10" s="18" t="str">
        <f t="shared" si="2"/>
        <v/>
      </c>
      <c r="Q10" s="18" t="str">
        <f t="shared" si="3"/>
        <v/>
      </c>
      <c r="R10" s="18" t="str">
        <f t="shared" si="4"/>
        <v/>
      </c>
      <c r="S10" s="18" t="str">
        <f t="shared" si="5"/>
        <v/>
      </c>
      <c r="T10" s="18" t="str">
        <f t="shared" si="6"/>
        <v/>
      </c>
      <c r="U10" s="19" t="str">
        <f t="shared" si="7"/>
        <v/>
      </c>
      <c r="V10" s="18" t="str">
        <f t="shared" si="8"/>
        <v/>
      </c>
      <c r="W10" s="18" t="str">
        <f t="shared" si="9"/>
        <v/>
      </c>
      <c r="X10" s="18" t="str">
        <f t="shared" si="10"/>
        <v/>
      </c>
      <c r="Y10" s="20" t="str">
        <f t="shared" si="11"/>
        <v/>
      </c>
      <c r="Z10" s="20" t="str">
        <f t="shared" si="12"/>
        <v/>
      </c>
      <c r="AA10" s="18"/>
      <c r="AB10" s="20" t="str">
        <f t="shared" si="13"/>
        <v/>
      </c>
    </row>
    <row r="11" ht="51.75" customHeight="1" spans="1:28">
      <c r="A11" s="15"/>
      <c r="B11" s="15"/>
      <c r="C11" s="15"/>
      <c r="D11" s="15"/>
      <c r="E11" s="15"/>
      <c r="F11" s="15"/>
      <c r="G11" s="15"/>
      <c r="H11" s="15"/>
      <c r="I11" s="16"/>
      <c r="J11" s="16"/>
      <c r="K11" s="16"/>
      <c r="L11" s="15"/>
      <c r="M11" s="17"/>
      <c r="N11" s="18" t="str">
        <f t="shared" si="0"/>
        <v>fa-home</v>
      </c>
      <c r="O11" s="18" t="str">
        <f t="shared" si="1"/>
        <v/>
      </c>
      <c r="P11" s="18" t="str">
        <f t="shared" si="2"/>
        <v/>
      </c>
      <c r="Q11" s="18" t="str">
        <f t="shared" si="3"/>
        <v/>
      </c>
      <c r="R11" s="18" t="str">
        <f t="shared" si="4"/>
        <v/>
      </c>
      <c r="S11" s="18" t="str">
        <f t="shared" si="5"/>
        <v/>
      </c>
      <c r="T11" s="18" t="str">
        <f t="shared" si="6"/>
        <v/>
      </c>
      <c r="U11" s="19" t="str">
        <f t="shared" si="7"/>
        <v/>
      </c>
      <c r="V11" s="18" t="str">
        <f t="shared" si="8"/>
        <v/>
      </c>
      <c r="W11" s="18" t="str">
        <f t="shared" si="9"/>
        <v/>
      </c>
      <c r="X11" s="18" t="str">
        <f t="shared" si="10"/>
        <v/>
      </c>
      <c r="Y11" s="20" t="str">
        <f t="shared" si="11"/>
        <v/>
      </c>
      <c r="Z11" s="20" t="str">
        <f t="shared" si="12"/>
        <v/>
      </c>
      <c r="AA11" s="18"/>
      <c r="AB11" s="20" t="str">
        <f t="shared" si="13"/>
        <v/>
      </c>
    </row>
    <row r="12" ht="51.75" customHeight="1" spans="1:28">
      <c r="A12" s="15"/>
      <c r="B12" s="15"/>
      <c r="C12" s="15"/>
      <c r="D12" s="15"/>
      <c r="E12" s="15"/>
      <c r="F12" s="15"/>
      <c r="G12" s="15"/>
      <c r="H12" s="15"/>
      <c r="I12" s="16"/>
      <c r="J12" s="16"/>
      <c r="K12" s="16"/>
      <c r="L12" s="15"/>
      <c r="M12" s="17"/>
      <c r="N12" s="18" t="str">
        <f t="shared" si="0"/>
        <v>fa-home</v>
      </c>
      <c r="O12" s="18" t="str">
        <f t="shared" si="1"/>
        <v/>
      </c>
      <c r="P12" s="18" t="str">
        <f t="shared" si="2"/>
        <v/>
      </c>
      <c r="Q12" s="18" t="str">
        <f t="shared" si="3"/>
        <v/>
      </c>
      <c r="R12" s="18" t="str">
        <f t="shared" si="4"/>
        <v/>
      </c>
      <c r="S12" s="18" t="str">
        <f t="shared" si="5"/>
        <v/>
      </c>
      <c r="T12" s="18" t="str">
        <f t="shared" si="6"/>
        <v/>
      </c>
      <c r="U12" s="19" t="str">
        <f t="shared" si="7"/>
        <v/>
      </c>
      <c r="V12" s="18" t="str">
        <f t="shared" si="8"/>
        <v/>
      </c>
      <c r="W12" s="18" t="str">
        <f t="shared" si="9"/>
        <v/>
      </c>
      <c r="X12" s="18" t="str">
        <f t="shared" si="10"/>
        <v/>
      </c>
      <c r="Y12" s="20" t="str">
        <f t="shared" si="11"/>
        <v/>
      </c>
      <c r="Z12" s="20" t="str">
        <f t="shared" si="12"/>
        <v/>
      </c>
      <c r="AA12" s="18"/>
      <c r="AB12" s="20" t="str">
        <f t="shared" si="13"/>
        <v/>
      </c>
    </row>
    <row r="13" ht="51.75" customHeight="1" spans="1:28">
      <c r="A13" s="15"/>
      <c r="B13" s="15"/>
      <c r="C13" s="15"/>
      <c r="D13" s="15"/>
      <c r="E13" s="15"/>
      <c r="F13" s="15"/>
      <c r="G13" s="15"/>
      <c r="H13" s="15"/>
      <c r="I13" s="16"/>
      <c r="J13" s="16"/>
      <c r="K13" s="16"/>
      <c r="L13" s="15"/>
      <c r="M13" s="17"/>
      <c r="N13" s="18" t="str">
        <f t="shared" si="0"/>
        <v>fa-home</v>
      </c>
      <c r="O13" s="18" t="str">
        <f t="shared" si="1"/>
        <v/>
      </c>
      <c r="P13" s="18" t="str">
        <f t="shared" si="2"/>
        <v/>
      </c>
      <c r="Q13" s="18" t="str">
        <f t="shared" si="3"/>
        <v/>
      </c>
      <c r="R13" s="18" t="str">
        <f t="shared" si="4"/>
        <v/>
      </c>
      <c r="S13" s="18" t="str">
        <f t="shared" si="5"/>
        <v/>
      </c>
      <c r="T13" s="18" t="str">
        <f t="shared" si="6"/>
        <v/>
      </c>
      <c r="U13" s="19" t="str">
        <f t="shared" si="7"/>
        <v/>
      </c>
      <c r="V13" s="18" t="str">
        <f t="shared" si="8"/>
        <v/>
      </c>
      <c r="W13" s="18" t="str">
        <f t="shared" si="9"/>
        <v/>
      </c>
      <c r="X13" s="18" t="str">
        <f t="shared" si="10"/>
        <v/>
      </c>
      <c r="Y13" s="20" t="str">
        <f t="shared" si="11"/>
        <v/>
      </c>
      <c r="Z13" s="20" t="str">
        <f t="shared" si="12"/>
        <v/>
      </c>
      <c r="AA13" s="18"/>
      <c r="AB13" s="20" t="str">
        <f t="shared" si="13"/>
        <v/>
      </c>
    </row>
    <row r="14" ht="51.75" customHeight="1" spans="1:28">
      <c r="A14" s="15"/>
      <c r="B14" s="15"/>
      <c r="C14" s="15"/>
      <c r="D14" s="15"/>
      <c r="E14" s="15"/>
      <c r="F14" s="15"/>
      <c r="G14" s="15"/>
      <c r="H14" s="15"/>
      <c r="I14" s="16"/>
      <c r="J14" s="16"/>
      <c r="K14" s="16"/>
      <c r="L14" s="15"/>
      <c r="M14" s="17"/>
      <c r="N14" s="18" t="str">
        <f t="shared" si="0"/>
        <v>fa-home</v>
      </c>
      <c r="O14" s="18" t="str">
        <f t="shared" si="1"/>
        <v/>
      </c>
      <c r="P14" s="18" t="str">
        <f t="shared" si="2"/>
        <v/>
      </c>
      <c r="Q14" s="18" t="str">
        <f t="shared" si="3"/>
        <v/>
      </c>
      <c r="R14" s="18" t="str">
        <f t="shared" si="4"/>
        <v/>
      </c>
      <c r="S14" s="18" t="str">
        <f t="shared" si="5"/>
        <v/>
      </c>
      <c r="T14" s="18" t="str">
        <f t="shared" si="6"/>
        <v/>
      </c>
      <c r="U14" s="19" t="str">
        <f t="shared" si="7"/>
        <v/>
      </c>
      <c r="V14" s="18" t="str">
        <f t="shared" si="8"/>
        <v/>
      </c>
      <c r="W14" s="18" t="str">
        <f t="shared" si="9"/>
        <v/>
      </c>
      <c r="X14" s="18" t="str">
        <f t="shared" si="10"/>
        <v/>
      </c>
      <c r="Y14" s="20" t="str">
        <f t="shared" si="11"/>
        <v/>
      </c>
      <c r="Z14" s="20" t="str">
        <f t="shared" si="12"/>
        <v/>
      </c>
      <c r="AA14" s="18"/>
      <c r="AB14" s="20" t="str">
        <f t="shared" si="13"/>
        <v/>
      </c>
    </row>
    <row r="15" ht="51.75" customHeight="1" spans="1:28">
      <c r="A15" s="15"/>
      <c r="B15" s="15"/>
      <c r="C15" s="15"/>
      <c r="D15" s="15"/>
      <c r="E15" s="15"/>
      <c r="F15" s="15"/>
      <c r="G15" s="15"/>
      <c r="H15" s="15"/>
      <c r="I15" s="16"/>
      <c r="J15" s="16"/>
      <c r="K15" s="16"/>
      <c r="L15" s="15"/>
      <c r="M15" s="17"/>
      <c r="N15" s="18" t="str">
        <f t="shared" si="0"/>
        <v>fa-home</v>
      </c>
      <c r="O15" s="18" t="str">
        <f t="shared" si="1"/>
        <v/>
      </c>
      <c r="P15" s="18" t="str">
        <f t="shared" si="2"/>
        <v/>
      </c>
      <c r="Q15" s="18" t="str">
        <f t="shared" si="3"/>
        <v/>
      </c>
      <c r="R15" s="18" t="str">
        <f t="shared" si="4"/>
        <v/>
      </c>
      <c r="S15" s="18" t="str">
        <f t="shared" si="5"/>
        <v/>
      </c>
      <c r="T15" s="18" t="str">
        <f t="shared" si="6"/>
        <v/>
      </c>
      <c r="U15" s="19" t="str">
        <f t="shared" si="7"/>
        <v/>
      </c>
      <c r="V15" s="18" t="str">
        <f t="shared" si="8"/>
        <v/>
      </c>
      <c r="W15" s="18" t="str">
        <f t="shared" si="9"/>
        <v/>
      </c>
      <c r="X15" s="18" t="str">
        <f t="shared" si="10"/>
        <v/>
      </c>
      <c r="Y15" s="20" t="str">
        <f t="shared" si="11"/>
        <v/>
      </c>
      <c r="Z15" s="20" t="str">
        <f t="shared" si="12"/>
        <v/>
      </c>
      <c r="AA15" s="18"/>
      <c r="AB15" s="20" t="str">
        <f t="shared" si="13"/>
        <v/>
      </c>
    </row>
    <row r="16" ht="51.75" customHeight="1" spans="1:28">
      <c r="A16" s="15"/>
      <c r="B16" s="15"/>
      <c r="C16" s="15"/>
      <c r="D16" s="15"/>
      <c r="E16" s="15"/>
      <c r="F16" s="15"/>
      <c r="G16" s="15"/>
      <c r="H16" s="15"/>
      <c r="I16" s="16"/>
      <c r="J16" s="16"/>
      <c r="K16" s="16"/>
      <c r="L16" s="15"/>
      <c r="M16" s="17"/>
      <c r="N16" s="18" t="str">
        <f t="shared" si="0"/>
        <v>fa-home</v>
      </c>
      <c r="O16" s="18" t="str">
        <f t="shared" si="1"/>
        <v/>
      </c>
      <c r="P16" s="18" t="str">
        <f t="shared" si="2"/>
        <v/>
      </c>
      <c r="Q16" s="18" t="str">
        <f t="shared" si="3"/>
        <v/>
      </c>
      <c r="R16" s="18" t="str">
        <f t="shared" si="4"/>
        <v/>
      </c>
      <c r="S16" s="18" t="str">
        <f t="shared" si="5"/>
        <v/>
      </c>
      <c r="T16" s="18" t="str">
        <f t="shared" si="6"/>
        <v/>
      </c>
      <c r="U16" s="19" t="str">
        <f t="shared" si="7"/>
        <v/>
      </c>
      <c r="V16" s="18" t="str">
        <f t="shared" si="8"/>
        <v/>
      </c>
      <c r="W16" s="18" t="str">
        <f t="shared" si="9"/>
        <v/>
      </c>
      <c r="X16" s="18" t="str">
        <f t="shared" si="10"/>
        <v/>
      </c>
      <c r="Y16" s="20" t="str">
        <f t="shared" si="11"/>
        <v/>
      </c>
      <c r="Z16" s="20" t="str">
        <f t="shared" si="12"/>
        <v/>
      </c>
      <c r="AA16" s="18"/>
      <c r="AB16" s="20" t="str">
        <f t="shared" si="13"/>
        <v/>
      </c>
    </row>
    <row r="17" ht="51.75" customHeight="1" spans="1:28">
      <c r="A17" s="15"/>
      <c r="B17" s="15"/>
      <c r="C17" s="15"/>
      <c r="D17" s="15"/>
      <c r="E17" s="15"/>
      <c r="F17" s="15"/>
      <c r="G17" s="15"/>
      <c r="H17" s="15"/>
      <c r="I17" s="16"/>
      <c r="J17" s="16"/>
      <c r="K17" s="16"/>
      <c r="L17" s="15"/>
      <c r="M17" s="17"/>
      <c r="N17" s="18" t="str">
        <f t="shared" si="0"/>
        <v>fa-home</v>
      </c>
      <c r="O17" s="18" t="str">
        <f t="shared" si="1"/>
        <v/>
      </c>
      <c r="P17" s="18" t="str">
        <f t="shared" si="2"/>
        <v/>
      </c>
      <c r="Q17" s="18" t="str">
        <f t="shared" si="3"/>
        <v/>
      </c>
      <c r="R17" s="18" t="str">
        <f t="shared" si="4"/>
        <v/>
      </c>
      <c r="S17" s="18" t="str">
        <f t="shared" si="5"/>
        <v/>
      </c>
      <c r="T17" s="18" t="str">
        <f t="shared" si="6"/>
        <v/>
      </c>
      <c r="U17" s="19" t="str">
        <f t="shared" si="7"/>
        <v/>
      </c>
      <c r="V17" s="18" t="str">
        <f t="shared" si="8"/>
        <v/>
      </c>
      <c r="W17" s="18" t="str">
        <f t="shared" si="9"/>
        <v/>
      </c>
      <c r="X17" s="18" t="str">
        <f t="shared" si="10"/>
        <v/>
      </c>
      <c r="Y17" s="20" t="str">
        <f t="shared" si="11"/>
        <v/>
      </c>
      <c r="Z17" s="20" t="str">
        <f t="shared" si="12"/>
        <v/>
      </c>
      <c r="AA17" s="18"/>
      <c r="AB17" s="20" t="str">
        <f t="shared" si="13"/>
        <v/>
      </c>
    </row>
    <row r="18" ht="51.75" customHeight="1" spans="1:28">
      <c r="A18" s="15"/>
      <c r="B18" s="15"/>
      <c r="C18" s="15"/>
      <c r="D18" s="15"/>
      <c r="E18" s="15"/>
      <c r="F18" s="15"/>
      <c r="G18" s="15"/>
      <c r="H18" s="15"/>
      <c r="I18" s="16"/>
      <c r="J18" s="16"/>
      <c r="K18" s="16"/>
      <c r="L18" s="15"/>
      <c r="M18" s="17"/>
      <c r="N18" s="18" t="str">
        <f t="shared" si="0"/>
        <v>fa-home</v>
      </c>
      <c r="O18" s="18" t="str">
        <f t="shared" si="1"/>
        <v/>
      </c>
      <c r="P18" s="18" t="str">
        <f t="shared" si="2"/>
        <v/>
      </c>
      <c r="Q18" s="18" t="str">
        <f t="shared" si="3"/>
        <v/>
      </c>
      <c r="R18" s="18" t="str">
        <f t="shared" si="4"/>
        <v/>
      </c>
      <c r="S18" s="18" t="str">
        <f t="shared" si="5"/>
        <v/>
      </c>
      <c r="T18" s="18" t="str">
        <f t="shared" si="6"/>
        <v/>
      </c>
      <c r="U18" s="19" t="str">
        <f t="shared" si="7"/>
        <v/>
      </c>
      <c r="V18" s="18" t="str">
        <f t="shared" si="8"/>
        <v/>
      </c>
      <c r="W18" s="18" t="str">
        <f t="shared" si="9"/>
        <v/>
      </c>
      <c r="X18" s="18" t="str">
        <f t="shared" si="10"/>
        <v/>
      </c>
      <c r="Y18" s="20" t="str">
        <f t="shared" si="11"/>
        <v/>
      </c>
      <c r="Z18" s="20" t="str">
        <f t="shared" si="12"/>
        <v/>
      </c>
      <c r="AA18" s="18"/>
      <c r="AB18" s="20" t="str">
        <f t="shared" si="13"/>
        <v/>
      </c>
    </row>
    <row r="19" ht="51.75" customHeight="1" spans="1:28">
      <c r="A19" s="15"/>
      <c r="B19" s="15"/>
      <c r="C19" s="15"/>
      <c r="D19" s="15"/>
      <c r="E19" s="15"/>
      <c r="F19" s="15"/>
      <c r="G19" s="15"/>
      <c r="H19" s="15"/>
      <c r="I19" s="16"/>
      <c r="J19" s="16"/>
      <c r="K19" s="16"/>
      <c r="L19" s="15"/>
      <c r="M19" s="17"/>
      <c r="N19" s="18" t="str">
        <f t="shared" si="0"/>
        <v>fa-home</v>
      </c>
      <c r="O19" s="18" t="str">
        <f t="shared" si="1"/>
        <v/>
      </c>
      <c r="P19" s="18" t="str">
        <f t="shared" si="2"/>
        <v/>
      </c>
      <c r="Q19" s="18" t="str">
        <f t="shared" si="3"/>
        <v/>
      </c>
      <c r="R19" s="18" t="str">
        <f t="shared" si="4"/>
        <v/>
      </c>
      <c r="S19" s="18" t="str">
        <f t="shared" si="5"/>
        <v/>
      </c>
      <c r="T19" s="18" t="str">
        <f t="shared" si="6"/>
        <v/>
      </c>
      <c r="U19" s="19" t="str">
        <f t="shared" si="7"/>
        <v/>
      </c>
      <c r="V19" s="18" t="str">
        <f t="shared" si="8"/>
        <v/>
      </c>
      <c r="W19" s="18" t="str">
        <f t="shared" si="9"/>
        <v/>
      </c>
      <c r="X19" s="18" t="str">
        <f t="shared" si="10"/>
        <v/>
      </c>
      <c r="Y19" s="20" t="str">
        <f t="shared" si="11"/>
        <v/>
      </c>
      <c r="Z19" s="20" t="str">
        <f t="shared" si="12"/>
        <v/>
      </c>
      <c r="AA19" s="18"/>
      <c r="AB19" s="20" t="str">
        <f t="shared" si="13"/>
        <v/>
      </c>
    </row>
    <row r="20" ht="51.75" customHeight="1" spans="1:28">
      <c r="A20" s="15"/>
      <c r="B20" s="15"/>
      <c r="C20" s="15"/>
      <c r="D20" s="15"/>
      <c r="E20" s="15"/>
      <c r="F20" s="15"/>
      <c r="G20" s="15"/>
      <c r="H20" s="15"/>
      <c r="I20" s="16"/>
      <c r="J20" s="16"/>
      <c r="K20" s="16"/>
      <c r="L20" s="15"/>
      <c r="M20" s="17"/>
      <c r="N20" s="18" t="str">
        <f t="shared" si="0"/>
        <v>fa-home</v>
      </c>
      <c r="O20" s="18" t="str">
        <f t="shared" si="1"/>
        <v/>
      </c>
      <c r="P20" s="18" t="str">
        <f t="shared" si="2"/>
        <v/>
      </c>
      <c r="Q20" s="18" t="str">
        <f t="shared" si="3"/>
        <v/>
      </c>
      <c r="R20" s="18" t="str">
        <f t="shared" si="4"/>
        <v/>
      </c>
      <c r="S20" s="18" t="str">
        <f t="shared" si="5"/>
        <v/>
      </c>
      <c r="T20" s="18" t="str">
        <f t="shared" si="6"/>
        <v/>
      </c>
      <c r="U20" s="19" t="str">
        <f t="shared" si="7"/>
        <v/>
      </c>
      <c r="V20" s="18" t="str">
        <f t="shared" si="8"/>
        <v/>
      </c>
      <c r="W20" s="18" t="str">
        <f t="shared" si="9"/>
        <v/>
      </c>
      <c r="X20" s="18" t="str">
        <f t="shared" si="10"/>
        <v/>
      </c>
      <c r="Y20" s="20" t="str">
        <f t="shared" si="11"/>
        <v/>
      </c>
      <c r="Z20" s="20" t="str">
        <f t="shared" si="12"/>
        <v/>
      </c>
      <c r="AA20" s="18"/>
      <c r="AB20" s="20" t="str">
        <f t="shared" si="13"/>
        <v/>
      </c>
    </row>
    <row r="21" ht="51.75" customHeight="1" spans="1:28">
      <c r="A21" s="15"/>
      <c r="B21" s="15"/>
      <c r="C21" s="15"/>
      <c r="D21" s="15"/>
      <c r="E21" s="15"/>
      <c r="F21" s="15"/>
      <c r="G21" s="15"/>
      <c r="H21" s="15"/>
      <c r="I21" s="16"/>
      <c r="J21" s="16"/>
      <c r="K21" s="16"/>
      <c r="L21" s="15"/>
      <c r="M21" s="17"/>
      <c r="N21" s="18" t="str">
        <f t="shared" si="0"/>
        <v>fa-home</v>
      </c>
      <c r="O21" s="18" t="str">
        <f t="shared" si="1"/>
        <v/>
      </c>
      <c r="P21" s="18" t="str">
        <f t="shared" si="2"/>
        <v/>
      </c>
      <c r="Q21" s="18" t="str">
        <f t="shared" si="3"/>
        <v/>
      </c>
      <c r="R21" s="18" t="str">
        <f t="shared" si="4"/>
        <v/>
      </c>
      <c r="S21" s="18" t="str">
        <f t="shared" si="5"/>
        <v/>
      </c>
      <c r="T21" s="18" t="str">
        <f t="shared" si="6"/>
        <v/>
      </c>
      <c r="U21" s="19" t="str">
        <f t="shared" si="7"/>
        <v/>
      </c>
      <c r="V21" s="18" t="str">
        <f t="shared" si="8"/>
        <v/>
      </c>
      <c r="W21" s="18" t="str">
        <f t="shared" si="9"/>
        <v/>
      </c>
      <c r="X21" s="18" t="str">
        <f t="shared" si="10"/>
        <v/>
      </c>
      <c r="Y21" s="20" t="str">
        <f t="shared" si="11"/>
        <v/>
      </c>
      <c r="Z21" s="20" t="str">
        <f t="shared" si="12"/>
        <v/>
      </c>
      <c r="AA21" s="18"/>
      <c r="AB21" s="20" t="str">
        <f t="shared" si="13"/>
        <v/>
      </c>
    </row>
    <row r="22" ht="51.75" customHeight="1" spans="1:28">
      <c r="A22" s="15"/>
      <c r="B22" s="15"/>
      <c r="C22" s="15"/>
      <c r="D22" s="15"/>
      <c r="E22" s="15"/>
      <c r="F22" s="15"/>
      <c r="G22" s="15"/>
      <c r="H22" s="15"/>
      <c r="I22" s="16"/>
      <c r="J22" s="16"/>
      <c r="K22" s="16"/>
      <c r="L22" s="15"/>
      <c r="M22" s="17"/>
      <c r="N22" s="18" t="str">
        <f t="shared" si="0"/>
        <v>fa-home</v>
      </c>
      <c r="O22" s="18" t="str">
        <f t="shared" si="1"/>
        <v/>
      </c>
      <c r="P22" s="18" t="str">
        <f t="shared" si="2"/>
        <v/>
      </c>
      <c r="Q22" s="18" t="str">
        <f t="shared" si="3"/>
        <v/>
      </c>
      <c r="R22" s="18" t="str">
        <f t="shared" si="4"/>
        <v/>
      </c>
      <c r="S22" s="18" t="str">
        <f t="shared" si="5"/>
        <v/>
      </c>
      <c r="T22" s="18" t="str">
        <f t="shared" si="6"/>
        <v/>
      </c>
      <c r="U22" s="19" t="str">
        <f t="shared" si="7"/>
        <v/>
      </c>
      <c r="V22" s="18" t="str">
        <f t="shared" si="8"/>
        <v/>
      </c>
      <c r="W22" s="18" t="str">
        <f t="shared" si="9"/>
        <v/>
      </c>
      <c r="X22" s="18" t="str">
        <f t="shared" si="10"/>
        <v/>
      </c>
      <c r="Y22" s="20" t="str">
        <f t="shared" si="11"/>
        <v/>
      </c>
      <c r="Z22" s="20" t="str">
        <f t="shared" si="12"/>
        <v/>
      </c>
      <c r="AA22" s="18"/>
      <c r="AB22" s="20" t="str">
        <f t="shared" si="13"/>
        <v/>
      </c>
    </row>
    <row r="23" ht="51.75" customHeight="1" spans="1:28">
      <c r="A23" s="15"/>
      <c r="B23" s="15"/>
      <c r="C23" s="15"/>
      <c r="D23" s="15"/>
      <c r="E23" s="15"/>
      <c r="F23" s="15"/>
      <c r="G23" s="15"/>
      <c r="H23" s="15"/>
      <c r="I23" s="16"/>
      <c r="J23" s="16"/>
      <c r="K23" s="16"/>
      <c r="L23" s="15"/>
      <c r="M23" s="17"/>
      <c r="N23" s="18" t="str">
        <f t="shared" si="0"/>
        <v>fa-home</v>
      </c>
      <c r="O23" s="18" t="str">
        <f t="shared" si="1"/>
        <v/>
      </c>
      <c r="P23" s="18" t="str">
        <f t="shared" si="2"/>
        <v/>
      </c>
      <c r="Q23" s="18" t="str">
        <f t="shared" si="3"/>
        <v/>
      </c>
      <c r="R23" s="18" t="str">
        <f t="shared" si="4"/>
        <v/>
      </c>
      <c r="S23" s="18" t="str">
        <f t="shared" si="5"/>
        <v/>
      </c>
      <c r="T23" s="18" t="str">
        <f t="shared" si="6"/>
        <v/>
      </c>
      <c r="U23" s="19" t="str">
        <f t="shared" si="7"/>
        <v/>
      </c>
      <c r="V23" s="18" t="str">
        <f t="shared" si="8"/>
        <v/>
      </c>
      <c r="W23" s="18" t="str">
        <f t="shared" si="9"/>
        <v/>
      </c>
      <c r="X23" s="18" t="str">
        <f t="shared" si="10"/>
        <v/>
      </c>
      <c r="Y23" s="20" t="str">
        <f t="shared" si="11"/>
        <v/>
      </c>
      <c r="Z23" s="20" t="str">
        <f t="shared" si="12"/>
        <v/>
      </c>
      <c r="AA23" s="18"/>
      <c r="AB23" s="20" t="str">
        <f t="shared" si="13"/>
        <v/>
      </c>
    </row>
    <row r="24" ht="51.75" customHeight="1" spans="1:28">
      <c r="A24" s="15"/>
      <c r="B24" s="15"/>
      <c r="C24" s="15"/>
      <c r="D24" s="15"/>
      <c r="E24" s="15"/>
      <c r="F24" s="15"/>
      <c r="G24" s="15"/>
      <c r="H24" s="15"/>
      <c r="I24" s="16"/>
      <c r="J24" s="16"/>
      <c r="K24" s="16"/>
      <c r="L24" s="15"/>
      <c r="M24" s="17"/>
      <c r="N24" s="18" t="str">
        <f t="shared" si="0"/>
        <v>fa-home</v>
      </c>
      <c r="O24" s="18" t="str">
        <f t="shared" si="1"/>
        <v/>
      </c>
      <c r="P24" s="18" t="str">
        <f t="shared" si="2"/>
        <v/>
      </c>
      <c r="Q24" s="18" t="str">
        <f t="shared" si="3"/>
        <v/>
      </c>
      <c r="R24" s="18" t="str">
        <f t="shared" si="4"/>
        <v/>
      </c>
      <c r="S24" s="18" t="str">
        <f t="shared" si="5"/>
        <v/>
      </c>
      <c r="T24" s="18" t="str">
        <f t="shared" si="6"/>
        <v/>
      </c>
      <c r="U24" s="19" t="str">
        <f t="shared" si="7"/>
        <v/>
      </c>
      <c r="V24" s="18" t="str">
        <f t="shared" si="8"/>
        <v/>
      </c>
      <c r="W24" s="18" t="str">
        <f t="shared" si="9"/>
        <v/>
      </c>
      <c r="X24" s="18" t="str">
        <f t="shared" si="10"/>
        <v/>
      </c>
      <c r="Y24" s="20" t="str">
        <f t="shared" si="11"/>
        <v/>
      </c>
      <c r="Z24" s="20" t="str">
        <f t="shared" si="12"/>
        <v/>
      </c>
      <c r="AA24" s="18"/>
      <c r="AB24" s="20" t="str">
        <f t="shared" si="13"/>
        <v/>
      </c>
    </row>
    <row r="25" ht="51.75" customHeight="1" spans="1:28">
      <c r="A25" s="15"/>
      <c r="B25" s="15"/>
      <c r="C25" s="15"/>
      <c r="D25" s="15"/>
      <c r="E25" s="15"/>
      <c r="F25" s="15"/>
      <c r="G25" s="15"/>
      <c r="H25" s="15"/>
      <c r="I25" s="16"/>
      <c r="J25" s="16"/>
      <c r="K25" s="16"/>
      <c r="L25" s="15"/>
      <c r="M25" s="17"/>
      <c r="N25" s="18" t="str">
        <f t="shared" si="0"/>
        <v>fa-home</v>
      </c>
      <c r="O25" s="18" t="str">
        <f t="shared" si="1"/>
        <v/>
      </c>
      <c r="P25" s="18" t="str">
        <f t="shared" si="2"/>
        <v/>
      </c>
      <c r="Q25" s="18" t="str">
        <f t="shared" si="3"/>
        <v/>
      </c>
      <c r="R25" s="18" t="str">
        <f t="shared" si="4"/>
        <v/>
      </c>
      <c r="S25" s="18" t="str">
        <f t="shared" si="5"/>
        <v/>
      </c>
      <c r="T25" s="18" t="str">
        <f t="shared" si="6"/>
        <v/>
      </c>
      <c r="U25" s="19" t="str">
        <f t="shared" si="7"/>
        <v/>
      </c>
      <c r="V25" s="18" t="str">
        <f t="shared" si="8"/>
        <v/>
      </c>
      <c r="W25" s="18" t="str">
        <f t="shared" si="9"/>
        <v/>
      </c>
      <c r="X25" s="18" t="str">
        <f t="shared" si="10"/>
        <v/>
      </c>
      <c r="Y25" s="20" t="str">
        <f t="shared" si="11"/>
        <v/>
      </c>
      <c r="Z25" s="20" t="str">
        <f t="shared" si="12"/>
        <v/>
      </c>
      <c r="AA25" s="18"/>
      <c r="AB25" s="20" t="str">
        <f t="shared" si="13"/>
        <v/>
      </c>
    </row>
    <row r="26" ht="51.75" customHeight="1" spans="1:28">
      <c r="A26" s="15"/>
      <c r="B26" s="15"/>
      <c r="C26" s="15"/>
      <c r="D26" s="15"/>
      <c r="E26" s="15"/>
      <c r="F26" s="15"/>
      <c r="G26" s="15"/>
      <c r="H26" s="15"/>
      <c r="I26" s="16"/>
      <c r="J26" s="16"/>
      <c r="K26" s="16"/>
      <c r="L26" s="15"/>
      <c r="M26" s="17"/>
      <c r="N26" s="18" t="str">
        <f t="shared" si="0"/>
        <v>fa-home</v>
      </c>
      <c r="O26" s="18" t="str">
        <f t="shared" si="1"/>
        <v/>
      </c>
      <c r="P26" s="18" t="str">
        <f t="shared" si="2"/>
        <v/>
      </c>
      <c r="Q26" s="18" t="str">
        <f t="shared" si="3"/>
        <v/>
      </c>
      <c r="R26" s="18" t="str">
        <f t="shared" si="4"/>
        <v/>
      </c>
      <c r="S26" s="18" t="str">
        <f t="shared" si="5"/>
        <v/>
      </c>
      <c r="T26" s="18" t="str">
        <f t="shared" si="6"/>
        <v/>
      </c>
      <c r="U26" s="19" t="str">
        <f t="shared" si="7"/>
        <v/>
      </c>
      <c r="V26" s="18" t="str">
        <f t="shared" si="8"/>
        <v/>
      </c>
      <c r="W26" s="18" t="str">
        <f t="shared" si="9"/>
        <v/>
      </c>
      <c r="X26" s="18" t="str">
        <f t="shared" si="10"/>
        <v/>
      </c>
      <c r="Y26" s="20" t="str">
        <f t="shared" si="11"/>
        <v/>
      </c>
      <c r="Z26" s="20" t="str">
        <f t="shared" si="12"/>
        <v/>
      </c>
      <c r="AA26" s="18"/>
      <c r="AB26" s="20" t="str">
        <f t="shared" si="13"/>
        <v/>
      </c>
    </row>
    <row r="27" ht="51.75" customHeight="1" spans="1:28">
      <c r="A27" s="15"/>
      <c r="B27" s="15"/>
      <c r="C27" s="15"/>
      <c r="D27" s="15"/>
      <c r="E27" s="15"/>
      <c r="F27" s="15"/>
      <c r="G27" s="15"/>
      <c r="H27" s="15"/>
      <c r="I27" s="16"/>
      <c r="J27" s="16"/>
      <c r="K27" s="16"/>
      <c r="L27" s="15"/>
      <c r="M27" s="17"/>
      <c r="N27" s="18" t="str">
        <f t="shared" si="0"/>
        <v>fa-home</v>
      </c>
      <c r="O27" s="18" t="str">
        <f t="shared" si="1"/>
        <v/>
      </c>
      <c r="P27" s="18" t="str">
        <f t="shared" si="2"/>
        <v/>
      </c>
      <c r="Q27" s="18" t="str">
        <f t="shared" si="3"/>
        <v/>
      </c>
      <c r="R27" s="18" t="str">
        <f t="shared" si="4"/>
        <v/>
      </c>
      <c r="S27" s="18" t="str">
        <f t="shared" si="5"/>
        <v/>
      </c>
      <c r="T27" s="18" t="str">
        <f t="shared" si="6"/>
        <v/>
      </c>
      <c r="U27" s="19" t="str">
        <f t="shared" si="7"/>
        <v/>
      </c>
      <c r="V27" s="18" t="str">
        <f t="shared" si="8"/>
        <v/>
      </c>
      <c r="W27" s="18" t="str">
        <f t="shared" si="9"/>
        <v/>
      </c>
      <c r="X27" s="18" t="str">
        <f t="shared" si="10"/>
        <v/>
      </c>
      <c r="Y27" s="20" t="str">
        <f t="shared" si="11"/>
        <v/>
      </c>
      <c r="Z27" s="20" t="str">
        <f t="shared" si="12"/>
        <v/>
      </c>
      <c r="AA27" s="18"/>
      <c r="AB27" s="20" t="str">
        <f t="shared" si="13"/>
        <v/>
      </c>
    </row>
    <row r="28" ht="51.75" customHeight="1" spans="1:28">
      <c r="A28" s="15"/>
      <c r="B28" s="15"/>
      <c r="C28" s="15"/>
      <c r="D28" s="15"/>
      <c r="E28" s="15"/>
      <c r="F28" s="15"/>
      <c r="G28" s="15"/>
      <c r="H28" s="15"/>
      <c r="I28" s="16"/>
      <c r="J28" s="16"/>
      <c r="K28" s="16"/>
      <c r="L28" s="15"/>
      <c r="M28" s="17"/>
      <c r="N28" s="18" t="str">
        <f t="shared" si="0"/>
        <v>fa-home</v>
      </c>
      <c r="O28" s="18" t="str">
        <f t="shared" si="1"/>
        <v/>
      </c>
      <c r="P28" s="18" t="str">
        <f t="shared" si="2"/>
        <v/>
      </c>
      <c r="Q28" s="18" t="str">
        <f t="shared" si="3"/>
        <v/>
      </c>
      <c r="R28" s="18" t="str">
        <f t="shared" si="4"/>
        <v/>
      </c>
      <c r="S28" s="18" t="str">
        <f t="shared" si="5"/>
        <v/>
      </c>
      <c r="T28" s="18" t="str">
        <f t="shared" si="6"/>
        <v/>
      </c>
      <c r="U28" s="19" t="str">
        <f t="shared" si="7"/>
        <v/>
      </c>
      <c r="V28" s="18" t="str">
        <f t="shared" si="8"/>
        <v/>
      </c>
      <c r="W28" s="18" t="str">
        <f t="shared" si="9"/>
        <v/>
      </c>
      <c r="X28" s="18" t="str">
        <f t="shared" si="10"/>
        <v/>
      </c>
      <c r="Y28" s="20" t="str">
        <f t="shared" si="11"/>
        <v/>
      </c>
      <c r="Z28" s="20" t="str">
        <f t="shared" si="12"/>
        <v/>
      </c>
      <c r="AA28" s="18"/>
      <c r="AB28" s="20" t="str">
        <f t="shared" si="13"/>
        <v/>
      </c>
    </row>
    <row r="29" ht="51.75" customHeight="1" spans="1:28">
      <c r="A29" s="15"/>
      <c r="B29" s="15"/>
      <c r="C29" s="15"/>
      <c r="D29" s="15"/>
      <c r="E29" s="15"/>
      <c r="F29" s="15"/>
      <c r="G29" s="15"/>
      <c r="H29" s="15"/>
      <c r="I29" s="16"/>
      <c r="J29" s="16"/>
      <c r="K29" s="16"/>
      <c r="L29" s="15"/>
      <c r="M29" s="17"/>
      <c r="N29" s="18" t="str">
        <f t="shared" si="0"/>
        <v>fa-home</v>
      </c>
      <c r="O29" s="18" t="str">
        <f t="shared" si="1"/>
        <v/>
      </c>
      <c r="P29" s="18" t="str">
        <f t="shared" si="2"/>
        <v/>
      </c>
      <c r="Q29" s="18" t="str">
        <f t="shared" si="3"/>
        <v/>
      </c>
      <c r="R29" s="18" t="str">
        <f t="shared" si="4"/>
        <v/>
      </c>
      <c r="S29" s="18" t="str">
        <f t="shared" si="5"/>
        <v/>
      </c>
      <c r="T29" s="18" t="str">
        <f t="shared" si="6"/>
        <v/>
      </c>
      <c r="U29" s="19" t="str">
        <f t="shared" si="7"/>
        <v/>
      </c>
      <c r="V29" s="18" t="str">
        <f t="shared" si="8"/>
        <v/>
      </c>
      <c r="W29" s="18" t="str">
        <f t="shared" si="9"/>
        <v/>
      </c>
      <c r="X29" s="18" t="str">
        <f t="shared" si="10"/>
        <v/>
      </c>
      <c r="Y29" s="20" t="str">
        <f t="shared" si="11"/>
        <v/>
      </c>
      <c r="Z29" s="20" t="str">
        <f t="shared" si="12"/>
        <v/>
      </c>
      <c r="AA29" s="18"/>
      <c r="AB29" s="20" t="str">
        <f t="shared" si="13"/>
        <v/>
      </c>
    </row>
    <row r="30" ht="51.75" customHeight="1" spans="1:28">
      <c r="A30" s="15"/>
      <c r="B30" s="15"/>
      <c r="C30" s="15"/>
      <c r="D30" s="15"/>
      <c r="E30" s="15"/>
      <c r="F30" s="15"/>
      <c r="G30" s="15"/>
      <c r="H30" s="15"/>
      <c r="I30" s="16"/>
      <c r="J30" s="16"/>
      <c r="K30" s="16"/>
      <c r="L30" s="15"/>
      <c r="M30" s="17"/>
      <c r="N30" s="18" t="str">
        <f t="shared" si="0"/>
        <v>fa-home</v>
      </c>
      <c r="O30" s="18" t="str">
        <f t="shared" si="1"/>
        <v/>
      </c>
      <c r="P30" s="18" t="str">
        <f t="shared" si="2"/>
        <v/>
      </c>
      <c r="Q30" s="18" t="str">
        <f t="shared" si="3"/>
        <v/>
      </c>
      <c r="R30" s="18" t="str">
        <f t="shared" si="4"/>
        <v/>
      </c>
      <c r="S30" s="18" t="str">
        <f t="shared" si="5"/>
        <v/>
      </c>
      <c r="T30" s="18" t="str">
        <f t="shared" si="6"/>
        <v/>
      </c>
      <c r="U30" s="19" t="str">
        <f t="shared" si="7"/>
        <v/>
      </c>
      <c r="V30" s="18" t="str">
        <f t="shared" si="8"/>
        <v/>
      </c>
      <c r="W30" s="18" t="str">
        <f t="shared" si="9"/>
        <v/>
      </c>
      <c r="X30" s="18" t="str">
        <f t="shared" si="10"/>
        <v/>
      </c>
      <c r="Y30" s="20" t="str">
        <f t="shared" si="11"/>
        <v/>
      </c>
      <c r="Z30" s="20" t="str">
        <f t="shared" si="12"/>
        <v/>
      </c>
      <c r="AA30" s="18"/>
      <c r="AB30" s="20" t="str">
        <f t="shared" si="13"/>
        <v/>
      </c>
    </row>
    <row r="31" ht="51.75" customHeight="1" spans="1:28">
      <c r="A31" s="15"/>
      <c r="B31" s="15"/>
      <c r="C31" s="15"/>
      <c r="D31" s="15"/>
      <c r="E31" s="15"/>
      <c r="F31" s="15"/>
      <c r="G31" s="15"/>
      <c r="H31" s="15"/>
      <c r="I31" s="16"/>
      <c r="J31" s="16"/>
      <c r="K31" s="16"/>
      <c r="L31" s="15"/>
      <c r="M31" s="17"/>
      <c r="N31" s="18" t="str">
        <f t="shared" si="0"/>
        <v>fa-home</v>
      </c>
      <c r="O31" s="18" t="str">
        <f t="shared" si="1"/>
        <v/>
      </c>
      <c r="P31" s="18" t="str">
        <f t="shared" si="2"/>
        <v/>
      </c>
      <c r="Q31" s="18" t="str">
        <f t="shared" si="3"/>
        <v/>
      </c>
      <c r="R31" s="18" t="str">
        <f t="shared" si="4"/>
        <v/>
      </c>
      <c r="S31" s="18" t="str">
        <f t="shared" si="5"/>
        <v/>
      </c>
      <c r="T31" s="18" t="str">
        <f t="shared" si="6"/>
        <v/>
      </c>
      <c r="U31" s="19" t="str">
        <f t="shared" si="7"/>
        <v/>
      </c>
      <c r="V31" s="18" t="str">
        <f t="shared" si="8"/>
        <v/>
      </c>
      <c r="W31" s="18" t="str">
        <f t="shared" si="9"/>
        <v/>
      </c>
      <c r="X31" s="18" t="str">
        <f t="shared" si="10"/>
        <v/>
      </c>
      <c r="Y31" s="20" t="str">
        <f t="shared" si="11"/>
        <v/>
      </c>
      <c r="Z31" s="20" t="str">
        <f t="shared" si="12"/>
        <v/>
      </c>
      <c r="AA31" s="18"/>
      <c r="AB31" s="20" t="str">
        <f t="shared" si="13"/>
        <v/>
      </c>
    </row>
    <row r="32" spans="1:28">
      <c r="A32" s="15"/>
      <c r="B32" s="15"/>
      <c r="C32" s="15"/>
      <c r="D32" s="15"/>
      <c r="E32" s="15"/>
      <c r="F32" s="15"/>
      <c r="G32" s="15"/>
      <c r="H32" s="15"/>
      <c r="I32" s="16"/>
      <c r="J32" s="16"/>
      <c r="K32" s="16"/>
      <c r="L32" s="15"/>
      <c r="M32" s="17"/>
      <c r="N32" s="18" t="str">
        <f t="shared" si="0"/>
        <v>fa-home</v>
      </c>
      <c r="O32" s="18" t="str">
        <f t="shared" si="1"/>
        <v/>
      </c>
      <c r="P32" s="18" t="str">
        <f t="shared" si="2"/>
        <v/>
      </c>
      <c r="Q32" s="18" t="str">
        <f t="shared" si="3"/>
        <v/>
      </c>
      <c r="R32" s="18" t="str">
        <f t="shared" si="4"/>
        <v/>
      </c>
      <c r="S32" s="18" t="str">
        <f t="shared" si="5"/>
        <v/>
      </c>
      <c r="T32" s="18" t="str">
        <f t="shared" si="6"/>
        <v/>
      </c>
      <c r="U32" s="19" t="str">
        <f t="shared" si="7"/>
        <v/>
      </c>
      <c r="V32" s="18" t="str">
        <f t="shared" si="8"/>
        <v/>
      </c>
      <c r="W32" s="18" t="str">
        <f t="shared" si="9"/>
        <v/>
      </c>
      <c r="X32" s="18" t="str">
        <f t="shared" si="10"/>
        <v/>
      </c>
      <c r="Y32" s="20" t="str">
        <f t="shared" si="11"/>
        <v/>
      </c>
      <c r="Z32" s="20" t="str">
        <f t="shared" si="12"/>
        <v/>
      </c>
      <c r="AA32" s="18"/>
      <c r="AB32" s="20" t="str">
        <f t="shared" si="13"/>
        <v/>
      </c>
    </row>
    <row r="33" spans="1:28">
      <c r="A33" s="15"/>
      <c r="B33" s="15"/>
      <c r="C33" s="15"/>
      <c r="D33" s="15"/>
      <c r="E33" s="15"/>
      <c r="F33" s="15"/>
      <c r="G33" s="15"/>
      <c r="H33" s="15"/>
      <c r="I33" s="16"/>
      <c r="J33" s="16"/>
      <c r="K33" s="16"/>
      <c r="L33" s="15"/>
      <c r="M33" s="17"/>
      <c r="N33" s="18" t="str">
        <f t="shared" si="0"/>
        <v>fa-home</v>
      </c>
      <c r="O33" s="18" t="str">
        <f t="shared" si="1"/>
        <v/>
      </c>
      <c r="P33" s="18" t="str">
        <f t="shared" si="2"/>
        <v/>
      </c>
      <c r="Q33" s="18" t="str">
        <f t="shared" si="3"/>
        <v/>
      </c>
      <c r="R33" s="18" t="str">
        <f t="shared" si="4"/>
        <v/>
      </c>
      <c r="S33" s="18" t="str">
        <f t="shared" si="5"/>
        <v/>
      </c>
      <c r="T33" s="18" t="str">
        <f t="shared" si="6"/>
        <v/>
      </c>
      <c r="U33" s="19" t="str">
        <f t="shared" si="7"/>
        <v/>
      </c>
      <c r="V33" s="18" t="str">
        <f t="shared" si="8"/>
        <v/>
      </c>
      <c r="W33" s="18" t="str">
        <f t="shared" si="9"/>
        <v/>
      </c>
      <c r="X33" s="18" t="str">
        <f t="shared" si="10"/>
        <v/>
      </c>
      <c r="Y33" s="20" t="str">
        <f t="shared" si="11"/>
        <v/>
      </c>
      <c r="Z33" s="20" t="str">
        <f t="shared" si="12"/>
        <v/>
      </c>
      <c r="AA33" s="18"/>
      <c r="AB33" s="20" t="str">
        <f t="shared" si="13"/>
        <v/>
      </c>
    </row>
    <row r="34" spans="1:28">
      <c r="A34" s="15"/>
      <c r="B34" s="15"/>
      <c r="C34" s="15"/>
      <c r="D34" s="15"/>
      <c r="E34" s="15"/>
      <c r="F34" s="15"/>
      <c r="G34" s="15"/>
      <c r="H34" s="15"/>
      <c r="I34" s="16"/>
      <c r="J34" s="16"/>
      <c r="K34" s="16"/>
      <c r="L34" s="15"/>
      <c r="M34" s="17"/>
      <c r="N34" s="18" t="str">
        <f t="shared" si="0"/>
        <v>fa-home</v>
      </c>
      <c r="O34" s="18" t="str">
        <f t="shared" si="1"/>
        <v/>
      </c>
      <c r="P34" s="18" t="str">
        <f t="shared" si="2"/>
        <v/>
      </c>
      <c r="Q34" s="18" t="str">
        <f t="shared" si="3"/>
        <v/>
      </c>
      <c r="R34" s="18" t="str">
        <f t="shared" si="4"/>
        <v/>
      </c>
      <c r="S34" s="18" t="str">
        <f t="shared" si="5"/>
        <v/>
      </c>
      <c r="T34" s="18" t="str">
        <f t="shared" si="6"/>
        <v/>
      </c>
      <c r="U34" s="19" t="str">
        <f t="shared" si="7"/>
        <v/>
      </c>
      <c r="V34" s="18" t="str">
        <f t="shared" si="8"/>
        <v/>
      </c>
      <c r="W34" s="18" t="str">
        <f t="shared" si="9"/>
        <v/>
      </c>
      <c r="X34" s="18" t="str">
        <f t="shared" si="10"/>
        <v/>
      </c>
      <c r="Y34" s="20" t="str">
        <f t="shared" si="11"/>
        <v/>
      </c>
      <c r="Z34" s="20" t="str">
        <f t="shared" si="12"/>
        <v/>
      </c>
      <c r="AA34" s="18"/>
      <c r="AB34" s="20" t="str">
        <f t="shared" si="13"/>
        <v/>
      </c>
    </row>
    <row r="35" spans="1:28">
      <c r="A35" s="15"/>
      <c r="B35" s="15"/>
      <c r="C35" s="15"/>
      <c r="D35" s="15"/>
      <c r="E35" s="15"/>
      <c r="F35" s="15"/>
      <c r="G35" s="15"/>
      <c r="H35" s="15"/>
      <c r="I35" s="16"/>
      <c r="J35" s="16"/>
      <c r="K35" s="16"/>
      <c r="L35" s="15"/>
      <c r="M35" s="17"/>
      <c r="N35" s="18" t="str">
        <f t="shared" si="0"/>
        <v>fa-home</v>
      </c>
      <c r="O35" s="18" t="str">
        <f t="shared" si="1"/>
        <v/>
      </c>
      <c r="P35" s="18" t="str">
        <f t="shared" si="2"/>
        <v/>
      </c>
      <c r="Q35" s="18" t="str">
        <f t="shared" si="3"/>
        <v/>
      </c>
      <c r="R35" s="18" t="str">
        <f t="shared" si="4"/>
        <v/>
      </c>
      <c r="S35" s="18" t="str">
        <f t="shared" si="5"/>
        <v/>
      </c>
      <c r="T35" s="18" t="str">
        <f t="shared" si="6"/>
        <v/>
      </c>
      <c r="U35" s="19" t="str">
        <f t="shared" si="7"/>
        <v/>
      </c>
      <c r="V35" s="18" t="str">
        <f t="shared" si="8"/>
        <v/>
      </c>
      <c r="W35" s="18" t="str">
        <f t="shared" si="9"/>
        <v/>
      </c>
      <c r="X35" s="18" t="str">
        <f t="shared" si="10"/>
        <v/>
      </c>
      <c r="Y35" s="20" t="str">
        <f t="shared" si="11"/>
        <v/>
      </c>
      <c r="Z35" s="20" t="str">
        <f t="shared" si="12"/>
        <v/>
      </c>
      <c r="AA35" s="18"/>
      <c r="AB35" s="20" t="str">
        <f t="shared" si="13"/>
        <v/>
      </c>
    </row>
    <row r="36" spans="1:28">
      <c r="A36" s="15"/>
      <c r="B36" s="15"/>
      <c r="C36" s="15"/>
      <c r="D36" s="15"/>
      <c r="E36" s="15"/>
      <c r="F36" s="15"/>
      <c r="G36" s="15"/>
      <c r="H36" s="15"/>
      <c r="I36" s="16"/>
      <c r="J36" s="16"/>
      <c r="K36" s="16"/>
      <c r="L36" s="15"/>
      <c r="M36" s="17"/>
      <c r="N36" s="18" t="str">
        <f t="shared" si="0"/>
        <v>fa-home</v>
      </c>
      <c r="O36" s="18" t="str">
        <f t="shared" si="1"/>
        <v/>
      </c>
      <c r="P36" s="18" t="str">
        <f t="shared" si="2"/>
        <v/>
      </c>
      <c r="Q36" s="18" t="str">
        <f t="shared" si="3"/>
        <v/>
      </c>
      <c r="R36" s="18" t="str">
        <f t="shared" si="4"/>
        <v/>
      </c>
      <c r="S36" s="18" t="str">
        <f t="shared" si="5"/>
        <v/>
      </c>
      <c r="T36" s="18" t="str">
        <f t="shared" si="6"/>
        <v/>
      </c>
      <c r="U36" s="19" t="str">
        <f t="shared" si="7"/>
        <v/>
      </c>
      <c r="V36" s="18" t="str">
        <f t="shared" si="8"/>
        <v/>
      </c>
      <c r="W36" s="18" t="str">
        <f t="shared" si="9"/>
        <v/>
      </c>
      <c r="X36" s="18" t="str">
        <f t="shared" si="10"/>
        <v/>
      </c>
      <c r="Y36" s="20" t="str">
        <f t="shared" si="11"/>
        <v/>
      </c>
      <c r="Z36" s="20" t="str">
        <f t="shared" si="12"/>
        <v/>
      </c>
      <c r="AA36" s="18"/>
      <c r="AB36" s="20" t="str">
        <f t="shared" si="13"/>
        <v/>
      </c>
    </row>
    <row r="37" spans="1:28">
      <c r="A37" s="15"/>
      <c r="B37" s="15"/>
      <c r="C37" s="15"/>
      <c r="D37" s="15"/>
      <c r="E37" s="15"/>
      <c r="F37" s="15"/>
      <c r="G37" s="15"/>
      <c r="H37" s="15"/>
      <c r="I37" s="16"/>
      <c r="J37" s="16"/>
      <c r="K37" s="16"/>
      <c r="L37" s="15"/>
      <c r="M37" s="17"/>
      <c r="N37" s="18" t="str">
        <f t="shared" si="0"/>
        <v>fa-home</v>
      </c>
      <c r="O37" s="18" t="str">
        <f t="shared" si="1"/>
        <v/>
      </c>
      <c r="P37" s="18" t="str">
        <f t="shared" si="2"/>
        <v/>
      </c>
      <c r="Q37" s="18" t="str">
        <f t="shared" si="3"/>
        <v/>
      </c>
      <c r="R37" s="18" t="str">
        <f t="shared" si="4"/>
        <v/>
      </c>
      <c r="S37" s="18" t="str">
        <f t="shared" si="5"/>
        <v/>
      </c>
      <c r="T37" s="18" t="str">
        <f t="shared" si="6"/>
        <v/>
      </c>
      <c r="U37" s="19" t="str">
        <f t="shared" si="7"/>
        <v/>
      </c>
      <c r="V37" s="18" t="str">
        <f t="shared" si="8"/>
        <v/>
      </c>
      <c r="W37" s="18" t="str">
        <f t="shared" si="9"/>
        <v/>
      </c>
      <c r="X37" s="18" t="str">
        <f t="shared" si="10"/>
        <v/>
      </c>
      <c r="Y37" s="20" t="str">
        <f t="shared" si="11"/>
        <v/>
      </c>
      <c r="Z37" s="20" t="str">
        <f t="shared" si="12"/>
        <v/>
      </c>
      <c r="AA37" s="18"/>
      <c r="AB37" s="20" t="str">
        <f t="shared" si="13"/>
        <v/>
      </c>
    </row>
    <row r="38" spans="1:28">
      <c r="A38" s="15"/>
      <c r="B38" s="15"/>
      <c r="C38" s="15"/>
      <c r="D38" s="15"/>
      <c r="E38" s="15"/>
      <c r="F38" s="15"/>
      <c r="G38" s="15"/>
      <c r="H38" s="15"/>
      <c r="I38" s="16"/>
      <c r="J38" s="16"/>
      <c r="K38" s="16"/>
      <c r="L38" s="15"/>
      <c r="M38" s="17"/>
      <c r="N38" s="18" t="str">
        <f t="shared" si="0"/>
        <v>fa-home</v>
      </c>
      <c r="O38" s="18" t="str">
        <f t="shared" si="1"/>
        <v/>
      </c>
      <c r="P38" s="18" t="str">
        <f t="shared" si="2"/>
        <v/>
      </c>
      <c r="Q38" s="18" t="str">
        <f t="shared" si="3"/>
        <v/>
      </c>
      <c r="R38" s="18" t="str">
        <f t="shared" si="4"/>
        <v/>
      </c>
      <c r="S38" s="18" t="str">
        <f t="shared" si="5"/>
        <v/>
      </c>
      <c r="T38" s="18" t="str">
        <f t="shared" si="6"/>
        <v/>
      </c>
      <c r="U38" s="19" t="str">
        <f t="shared" si="7"/>
        <v/>
      </c>
      <c r="V38" s="18" t="str">
        <f t="shared" si="8"/>
        <v/>
      </c>
      <c r="W38" s="18" t="str">
        <f t="shared" si="9"/>
        <v/>
      </c>
      <c r="X38" s="18" t="str">
        <f t="shared" si="10"/>
        <v/>
      </c>
      <c r="Y38" s="20" t="str">
        <f t="shared" si="11"/>
        <v/>
      </c>
      <c r="Z38" s="20" t="str">
        <f t="shared" si="12"/>
        <v/>
      </c>
      <c r="AA38" s="18"/>
      <c r="AB38" s="20" t="str">
        <f t="shared" si="13"/>
        <v/>
      </c>
    </row>
    <row r="39" spans="1:28">
      <c r="A39" s="15"/>
      <c r="B39" s="15"/>
      <c r="C39" s="15"/>
      <c r="D39" s="15"/>
      <c r="E39" s="15"/>
      <c r="F39" s="15"/>
      <c r="G39" s="15"/>
      <c r="H39" s="15"/>
      <c r="I39" s="16"/>
      <c r="J39" s="16"/>
      <c r="K39" s="16"/>
      <c r="L39" s="15"/>
      <c r="M39" s="17"/>
      <c r="N39" s="18" t="str">
        <f t="shared" si="0"/>
        <v>fa-home</v>
      </c>
      <c r="O39" s="18" t="str">
        <f t="shared" si="1"/>
        <v/>
      </c>
      <c r="P39" s="18" t="str">
        <f t="shared" si="2"/>
        <v/>
      </c>
      <c r="Q39" s="18" t="str">
        <f t="shared" si="3"/>
        <v/>
      </c>
      <c r="R39" s="18" t="str">
        <f t="shared" si="4"/>
        <v/>
      </c>
      <c r="S39" s="18" t="str">
        <f t="shared" si="5"/>
        <v/>
      </c>
      <c r="T39" s="18" t="str">
        <f t="shared" si="6"/>
        <v/>
      </c>
      <c r="U39" s="19" t="str">
        <f t="shared" si="7"/>
        <v/>
      </c>
      <c r="V39" s="18" t="str">
        <f t="shared" si="8"/>
        <v/>
      </c>
      <c r="W39" s="18" t="str">
        <f t="shared" si="9"/>
        <v/>
      </c>
      <c r="X39" s="18" t="str">
        <f t="shared" si="10"/>
        <v/>
      </c>
      <c r="Y39" s="20" t="str">
        <f t="shared" si="11"/>
        <v/>
      </c>
      <c r="Z39" s="20" t="str">
        <f t="shared" si="12"/>
        <v/>
      </c>
      <c r="AA39" s="18"/>
      <c r="AB39" s="20" t="str">
        <f t="shared" si="13"/>
        <v/>
      </c>
    </row>
    <row r="40" spans="1:28">
      <c r="A40" s="15"/>
      <c r="B40" s="15"/>
      <c r="C40" s="15"/>
      <c r="D40" s="15"/>
      <c r="E40" s="15"/>
      <c r="F40" s="15"/>
      <c r="G40" s="15"/>
      <c r="H40" s="15"/>
      <c r="I40" s="16"/>
      <c r="J40" s="16"/>
      <c r="K40" s="16"/>
      <c r="L40" s="15"/>
      <c r="M40" s="17"/>
      <c r="N40" s="18" t="str">
        <f t="shared" si="0"/>
        <v>fa-home</v>
      </c>
      <c r="O40" s="18" t="str">
        <f t="shared" si="1"/>
        <v/>
      </c>
      <c r="P40" s="18" t="str">
        <f t="shared" si="2"/>
        <v/>
      </c>
      <c r="Q40" s="18" t="str">
        <f t="shared" si="3"/>
        <v/>
      </c>
      <c r="R40" s="18" t="str">
        <f t="shared" si="4"/>
        <v/>
      </c>
      <c r="S40" s="18" t="str">
        <f t="shared" si="5"/>
        <v/>
      </c>
      <c r="T40" s="18" t="str">
        <f t="shared" si="6"/>
        <v/>
      </c>
      <c r="U40" s="19" t="str">
        <f t="shared" si="7"/>
        <v/>
      </c>
      <c r="V40" s="18" t="str">
        <f t="shared" si="8"/>
        <v/>
      </c>
      <c r="W40" s="18" t="str">
        <f t="shared" si="9"/>
        <v/>
      </c>
      <c r="X40" s="18" t="str">
        <f t="shared" si="10"/>
        <v/>
      </c>
      <c r="Y40" s="20" t="str">
        <f t="shared" si="11"/>
        <v/>
      </c>
      <c r="Z40" s="20" t="str">
        <f t="shared" si="12"/>
        <v/>
      </c>
      <c r="AA40" s="18"/>
      <c r="AB40" s="20" t="str">
        <f t="shared" si="13"/>
        <v/>
      </c>
    </row>
    <row r="41" spans="1:28">
      <c r="A41" s="15"/>
      <c r="B41" s="15"/>
      <c r="C41" s="15"/>
      <c r="D41" s="15"/>
      <c r="E41" s="15"/>
      <c r="F41" s="15"/>
      <c r="G41" s="15"/>
      <c r="H41" s="15"/>
      <c r="I41" s="16"/>
      <c r="J41" s="16"/>
      <c r="K41" s="16"/>
      <c r="L41" s="15"/>
      <c r="M41" s="17"/>
      <c r="N41" s="18" t="str">
        <f t="shared" si="0"/>
        <v>fa-home</v>
      </c>
      <c r="O41" s="18" t="str">
        <f t="shared" si="1"/>
        <v/>
      </c>
      <c r="P41" s="18" t="str">
        <f t="shared" si="2"/>
        <v/>
      </c>
      <c r="Q41" s="18" t="str">
        <f t="shared" si="3"/>
        <v/>
      </c>
      <c r="R41" s="18" t="str">
        <f t="shared" si="4"/>
        <v/>
      </c>
      <c r="S41" s="18" t="str">
        <f t="shared" si="5"/>
        <v/>
      </c>
      <c r="T41" s="18" t="str">
        <f t="shared" si="6"/>
        <v/>
      </c>
      <c r="U41" s="19" t="str">
        <f t="shared" si="7"/>
        <v/>
      </c>
      <c r="V41" s="18" t="str">
        <f t="shared" si="8"/>
        <v/>
      </c>
      <c r="W41" s="18" t="str">
        <f t="shared" si="9"/>
        <v/>
      </c>
      <c r="X41" s="18" t="str">
        <f t="shared" si="10"/>
        <v/>
      </c>
      <c r="Y41" s="20" t="str">
        <f t="shared" si="11"/>
        <v/>
      </c>
      <c r="Z41" s="20" t="str">
        <f t="shared" si="12"/>
        <v/>
      </c>
      <c r="AA41" s="18"/>
      <c r="AB41" s="20" t="str">
        <f t="shared" si="13"/>
        <v/>
      </c>
    </row>
    <row r="42" spans="1:28">
      <c r="A42" s="15"/>
      <c r="B42" s="15"/>
      <c r="C42" s="15"/>
      <c r="D42" s="15"/>
      <c r="E42" s="15"/>
      <c r="F42" s="15"/>
      <c r="G42" s="15"/>
      <c r="H42" s="15"/>
      <c r="I42" s="16"/>
      <c r="J42" s="16"/>
      <c r="K42" s="16"/>
      <c r="L42" s="15"/>
      <c r="M42" s="17"/>
      <c r="N42" s="18" t="str">
        <f t="shared" si="0"/>
        <v>fa-home</v>
      </c>
      <c r="O42" s="18" t="str">
        <f t="shared" si="1"/>
        <v/>
      </c>
      <c r="P42" s="18" t="str">
        <f t="shared" si="2"/>
        <v/>
      </c>
      <c r="Q42" s="18" t="str">
        <f t="shared" si="3"/>
        <v/>
      </c>
      <c r="R42" s="18" t="str">
        <f t="shared" si="4"/>
        <v/>
      </c>
      <c r="S42" s="18" t="str">
        <f t="shared" si="5"/>
        <v/>
      </c>
      <c r="T42" s="18" t="str">
        <f t="shared" si="6"/>
        <v/>
      </c>
      <c r="U42" s="19" t="str">
        <f t="shared" si="7"/>
        <v/>
      </c>
      <c r="V42" s="18" t="str">
        <f t="shared" si="8"/>
        <v/>
      </c>
      <c r="W42" s="18" t="str">
        <f t="shared" si="9"/>
        <v/>
      </c>
      <c r="X42" s="18" t="str">
        <f t="shared" si="10"/>
        <v/>
      </c>
      <c r="Y42" s="20" t="str">
        <f t="shared" si="11"/>
        <v/>
      </c>
      <c r="Z42" s="20" t="str">
        <f t="shared" si="12"/>
        <v/>
      </c>
      <c r="AA42" s="18"/>
      <c r="AB42" s="20" t="str">
        <f t="shared" si="13"/>
        <v/>
      </c>
    </row>
    <row r="43" spans="1:28">
      <c r="A43" s="15"/>
      <c r="B43" s="15"/>
      <c r="C43" s="15"/>
      <c r="D43" s="15"/>
      <c r="E43" s="15"/>
      <c r="F43" s="15"/>
      <c r="G43" s="15"/>
      <c r="H43" s="15"/>
      <c r="I43" s="16"/>
      <c r="J43" s="16"/>
      <c r="K43" s="16"/>
      <c r="L43" s="15"/>
      <c r="M43" s="17"/>
      <c r="N43" s="18" t="str">
        <f t="shared" si="0"/>
        <v>fa-home</v>
      </c>
      <c r="O43" s="18" t="str">
        <f t="shared" si="1"/>
        <v/>
      </c>
      <c r="P43" s="18" t="str">
        <f t="shared" si="2"/>
        <v/>
      </c>
      <c r="Q43" s="18" t="str">
        <f t="shared" si="3"/>
        <v/>
      </c>
      <c r="R43" s="18" t="str">
        <f t="shared" si="4"/>
        <v/>
      </c>
      <c r="S43" s="18" t="str">
        <f t="shared" si="5"/>
        <v/>
      </c>
      <c r="T43" s="18" t="str">
        <f t="shared" si="6"/>
        <v/>
      </c>
      <c r="U43" s="19" t="str">
        <f t="shared" si="7"/>
        <v/>
      </c>
      <c r="V43" s="18" t="str">
        <f t="shared" si="8"/>
        <v/>
      </c>
      <c r="W43" s="18" t="str">
        <f t="shared" si="9"/>
        <v/>
      </c>
      <c r="X43" s="18" t="str">
        <f t="shared" si="10"/>
        <v/>
      </c>
      <c r="Y43" s="20" t="str">
        <f t="shared" si="11"/>
        <v/>
      </c>
      <c r="Z43" s="20" t="str">
        <f t="shared" si="12"/>
        <v/>
      </c>
      <c r="AA43" s="18"/>
      <c r="AB43" s="20" t="str">
        <f t="shared" si="13"/>
        <v/>
      </c>
    </row>
    <row r="44" spans="1:28">
      <c r="A44" s="15"/>
      <c r="B44" s="15"/>
      <c r="C44" s="15"/>
      <c r="D44" s="15"/>
      <c r="E44" s="15"/>
      <c r="F44" s="15"/>
      <c r="G44" s="15"/>
      <c r="H44" s="15"/>
      <c r="I44" s="16"/>
      <c r="J44" s="16"/>
      <c r="K44" s="16"/>
      <c r="L44" s="15"/>
      <c r="M44" s="17"/>
      <c r="N44" s="18" t="str">
        <f t="shared" si="0"/>
        <v>fa-home</v>
      </c>
      <c r="O44" s="18" t="str">
        <f t="shared" si="1"/>
        <v/>
      </c>
      <c r="P44" s="18" t="str">
        <f t="shared" si="2"/>
        <v/>
      </c>
      <c r="Q44" s="18" t="str">
        <f t="shared" si="3"/>
        <v/>
      </c>
      <c r="R44" s="18" t="str">
        <f t="shared" si="4"/>
        <v/>
      </c>
      <c r="S44" s="18" t="str">
        <f t="shared" si="5"/>
        <v/>
      </c>
      <c r="T44" s="18" t="str">
        <f t="shared" si="6"/>
        <v/>
      </c>
      <c r="U44" s="19" t="str">
        <f t="shared" si="7"/>
        <v/>
      </c>
      <c r="V44" s="18" t="str">
        <f t="shared" si="8"/>
        <v/>
      </c>
      <c r="W44" s="18" t="str">
        <f t="shared" si="9"/>
        <v/>
      </c>
      <c r="X44" s="18" t="str">
        <f t="shared" si="10"/>
        <v/>
      </c>
      <c r="Y44" s="20" t="str">
        <f t="shared" si="11"/>
        <v/>
      </c>
      <c r="Z44" s="20" t="str">
        <f t="shared" si="12"/>
        <v/>
      </c>
      <c r="AA44" s="18"/>
      <c r="AB44" s="20" t="str">
        <f t="shared" si="13"/>
        <v/>
      </c>
    </row>
    <row r="45" spans="1:28">
      <c r="A45" s="15"/>
      <c r="B45" s="15"/>
      <c r="C45" s="15"/>
      <c r="D45" s="15"/>
      <c r="E45" s="15"/>
      <c r="F45" s="15"/>
      <c r="G45" s="15"/>
      <c r="H45" s="15"/>
      <c r="I45" s="16"/>
      <c r="J45" s="16"/>
      <c r="K45" s="16"/>
      <c r="L45" s="15"/>
      <c r="M45" s="17"/>
      <c r="N45" s="18" t="str">
        <f t="shared" si="0"/>
        <v>fa-home</v>
      </c>
      <c r="O45" s="18" t="str">
        <f t="shared" si="1"/>
        <v/>
      </c>
      <c r="P45" s="18" t="str">
        <f t="shared" si="2"/>
        <v/>
      </c>
      <c r="Q45" s="18" t="str">
        <f t="shared" si="3"/>
        <v/>
      </c>
      <c r="R45" s="18" t="str">
        <f t="shared" si="4"/>
        <v/>
      </c>
      <c r="S45" s="18" t="str">
        <f t="shared" si="5"/>
        <v/>
      </c>
      <c r="T45" s="18" t="str">
        <f t="shared" si="6"/>
        <v/>
      </c>
      <c r="U45" s="19" t="str">
        <f t="shared" si="7"/>
        <v/>
      </c>
      <c r="V45" s="18" t="str">
        <f t="shared" si="8"/>
        <v/>
      </c>
      <c r="W45" s="18" t="str">
        <f t="shared" si="9"/>
        <v/>
      </c>
      <c r="X45" s="18" t="str">
        <f t="shared" si="10"/>
        <v/>
      </c>
      <c r="Y45" s="20" t="str">
        <f t="shared" si="11"/>
        <v/>
      </c>
      <c r="Z45" s="20" t="str">
        <f t="shared" si="12"/>
        <v/>
      </c>
      <c r="AA45" s="18"/>
      <c r="AB45" s="20" t="str">
        <f t="shared" si="13"/>
        <v/>
      </c>
    </row>
    <row r="46" spans="1:28">
      <c r="A46" s="15"/>
      <c r="B46" s="15"/>
      <c r="C46" s="15"/>
      <c r="D46" s="15"/>
      <c r="E46" s="15"/>
      <c r="F46" s="15"/>
      <c r="G46" s="15"/>
      <c r="H46" s="15"/>
      <c r="I46" s="16"/>
      <c r="J46" s="16"/>
      <c r="K46" s="16"/>
      <c r="L46" s="15"/>
      <c r="M46" s="17"/>
      <c r="N46" s="18" t="str">
        <f t="shared" si="0"/>
        <v>fa-home</v>
      </c>
      <c r="O46" s="18" t="str">
        <f t="shared" si="1"/>
        <v/>
      </c>
      <c r="P46" s="18" t="str">
        <f t="shared" si="2"/>
        <v/>
      </c>
      <c r="Q46" s="18" t="str">
        <f t="shared" si="3"/>
        <v/>
      </c>
      <c r="R46" s="18" t="str">
        <f t="shared" si="4"/>
        <v/>
      </c>
      <c r="S46" s="18" t="str">
        <f t="shared" si="5"/>
        <v/>
      </c>
      <c r="T46" s="18" t="str">
        <f t="shared" si="6"/>
        <v/>
      </c>
      <c r="U46" s="19" t="str">
        <f t="shared" si="7"/>
        <v/>
      </c>
      <c r="V46" s="18" t="str">
        <f t="shared" si="8"/>
        <v/>
      </c>
      <c r="W46" s="18" t="str">
        <f t="shared" si="9"/>
        <v/>
      </c>
      <c r="X46" s="18" t="str">
        <f t="shared" si="10"/>
        <v/>
      </c>
      <c r="Y46" s="20" t="str">
        <f t="shared" si="11"/>
        <v/>
      </c>
      <c r="Z46" s="20" t="str">
        <f t="shared" si="12"/>
        <v/>
      </c>
      <c r="AA46" s="18"/>
      <c r="AB46" s="20" t="str">
        <f t="shared" si="13"/>
        <v/>
      </c>
    </row>
    <row r="47" spans="1:28">
      <c r="A47" s="15"/>
      <c r="B47" s="15"/>
      <c r="C47" s="15"/>
      <c r="D47" s="15"/>
      <c r="E47" s="15"/>
      <c r="F47" s="15"/>
      <c r="G47" s="15"/>
      <c r="H47" s="15"/>
      <c r="I47" s="16"/>
      <c r="J47" s="16"/>
      <c r="K47" s="16"/>
      <c r="L47" s="15"/>
      <c r="M47" s="17"/>
      <c r="N47" s="18" t="str">
        <f t="shared" si="0"/>
        <v>fa-home</v>
      </c>
      <c r="O47" s="18" t="str">
        <f t="shared" si="1"/>
        <v/>
      </c>
      <c r="P47" s="18" t="str">
        <f t="shared" si="2"/>
        <v/>
      </c>
      <c r="Q47" s="18" t="str">
        <f t="shared" si="3"/>
        <v/>
      </c>
      <c r="R47" s="18" t="str">
        <f t="shared" si="4"/>
        <v/>
      </c>
      <c r="S47" s="18" t="str">
        <f t="shared" si="5"/>
        <v/>
      </c>
      <c r="T47" s="18" t="str">
        <f t="shared" si="6"/>
        <v/>
      </c>
      <c r="U47" s="19" t="str">
        <f t="shared" si="7"/>
        <v/>
      </c>
      <c r="V47" s="18" t="str">
        <f t="shared" si="8"/>
        <v/>
      </c>
      <c r="W47" s="18" t="str">
        <f t="shared" si="9"/>
        <v/>
      </c>
      <c r="X47" s="18" t="str">
        <f t="shared" si="10"/>
        <v/>
      </c>
      <c r="Y47" s="20" t="str">
        <f t="shared" si="11"/>
        <v/>
      </c>
      <c r="Z47" s="20" t="str">
        <f t="shared" si="12"/>
        <v/>
      </c>
      <c r="AA47" s="18"/>
      <c r="AB47" s="20" t="str">
        <f t="shared" si="13"/>
        <v/>
      </c>
    </row>
    <row r="48" spans="1:28">
      <c r="A48" s="15"/>
      <c r="B48" s="15"/>
      <c r="C48" s="15"/>
      <c r="D48" s="15"/>
      <c r="E48" s="15"/>
      <c r="F48" s="15"/>
      <c r="G48" s="15"/>
      <c r="H48" s="15"/>
      <c r="I48" s="16"/>
      <c r="J48" s="16"/>
      <c r="K48" s="16"/>
      <c r="L48" s="15"/>
      <c r="M48" s="17"/>
      <c r="N48" s="18" t="str">
        <f t="shared" si="0"/>
        <v>fa-home</v>
      </c>
      <c r="O48" s="18" t="str">
        <f t="shared" si="1"/>
        <v/>
      </c>
      <c r="P48" s="18" t="str">
        <f t="shared" si="2"/>
        <v/>
      </c>
      <c r="Q48" s="18" t="str">
        <f t="shared" si="3"/>
        <v/>
      </c>
      <c r="R48" s="18" t="str">
        <f t="shared" si="4"/>
        <v/>
      </c>
      <c r="S48" s="18" t="str">
        <f t="shared" si="5"/>
        <v/>
      </c>
      <c r="T48" s="18" t="str">
        <f t="shared" si="6"/>
        <v/>
      </c>
      <c r="U48" s="19" t="str">
        <f t="shared" si="7"/>
        <v/>
      </c>
      <c r="V48" s="18" t="str">
        <f t="shared" si="8"/>
        <v/>
      </c>
      <c r="W48" s="18" t="str">
        <f t="shared" si="9"/>
        <v/>
      </c>
      <c r="X48" s="18" t="str">
        <f t="shared" si="10"/>
        <v/>
      </c>
      <c r="Y48" s="20" t="str">
        <f t="shared" si="11"/>
        <v/>
      </c>
      <c r="Z48" s="20" t="str">
        <f t="shared" si="12"/>
        <v/>
      </c>
      <c r="AA48" s="18"/>
      <c r="AB48" s="20" t="str">
        <f t="shared" si="13"/>
        <v/>
      </c>
    </row>
    <row r="49" spans="1:28">
      <c r="A49" s="15"/>
      <c r="B49" s="15"/>
      <c r="C49" s="15"/>
      <c r="D49" s="15"/>
      <c r="E49" s="15"/>
      <c r="F49" s="15"/>
      <c r="G49" s="15"/>
      <c r="H49" s="15"/>
      <c r="I49" s="16"/>
      <c r="J49" s="16"/>
      <c r="K49" s="16"/>
      <c r="L49" s="15"/>
      <c r="M49" s="17"/>
      <c r="N49" s="18" t="str">
        <f t="shared" si="0"/>
        <v>fa-home</v>
      </c>
      <c r="O49" s="18" t="str">
        <f t="shared" si="1"/>
        <v/>
      </c>
      <c r="P49" s="18" t="str">
        <f t="shared" si="2"/>
        <v/>
      </c>
      <c r="Q49" s="18" t="str">
        <f t="shared" si="3"/>
        <v/>
      </c>
      <c r="R49" s="18" t="str">
        <f t="shared" si="4"/>
        <v/>
      </c>
      <c r="S49" s="18" t="str">
        <f t="shared" si="5"/>
        <v/>
      </c>
      <c r="T49" s="18" t="str">
        <f t="shared" si="6"/>
        <v/>
      </c>
      <c r="U49" s="19" t="str">
        <f t="shared" si="7"/>
        <v/>
      </c>
      <c r="V49" s="18" t="str">
        <f t="shared" si="8"/>
        <v/>
      </c>
      <c r="W49" s="18" t="str">
        <f t="shared" si="9"/>
        <v/>
      </c>
      <c r="X49" s="18" t="str">
        <f t="shared" si="10"/>
        <v/>
      </c>
      <c r="Y49" s="20" t="str">
        <f t="shared" si="11"/>
        <v/>
      </c>
      <c r="Z49" s="20" t="str">
        <f t="shared" si="12"/>
        <v/>
      </c>
      <c r="AA49" s="18"/>
      <c r="AB49" s="20" t="str">
        <f t="shared" si="13"/>
        <v/>
      </c>
    </row>
    <row r="50" spans="1:28">
      <c r="A50" s="15"/>
      <c r="B50" s="15"/>
      <c r="C50" s="15"/>
      <c r="D50" s="15"/>
      <c r="E50" s="15"/>
      <c r="F50" s="15"/>
      <c r="G50" s="15"/>
      <c r="H50" s="15"/>
      <c r="I50" s="16"/>
      <c r="J50" s="16"/>
      <c r="K50" s="16"/>
      <c r="L50" s="15"/>
      <c r="M50" s="17"/>
      <c r="N50" s="18" t="str">
        <f t="shared" si="0"/>
        <v>fa-home</v>
      </c>
      <c r="O50" s="18" t="str">
        <f t="shared" si="1"/>
        <v/>
      </c>
      <c r="P50" s="18" t="str">
        <f t="shared" si="2"/>
        <v/>
      </c>
      <c r="Q50" s="18" t="str">
        <f t="shared" si="3"/>
        <v/>
      </c>
      <c r="R50" s="18" t="str">
        <f t="shared" si="4"/>
        <v/>
      </c>
      <c r="S50" s="18" t="str">
        <f t="shared" si="5"/>
        <v/>
      </c>
      <c r="T50" s="18" t="str">
        <f t="shared" si="6"/>
        <v/>
      </c>
      <c r="U50" s="19" t="str">
        <f t="shared" si="7"/>
        <v/>
      </c>
      <c r="V50" s="18" t="str">
        <f t="shared" si="8"/>
        <v/>
      </c>
      <c r="W50" s="18" t="str">
        <f t="shared" si="9"/>
        <v/>
      </c>
      <c r="X50" s="18" t="str">
        <f t="shared" si="10"/>
        <v/>
      </c>
      <c r="Y50" s="20" t="str">
        <f t="shared" si="11"/>
        <v/>
      </c>
      <c r="Z50" s="20" t="str">
        <f t="shared" si="12"/>
        <v/>
      </c>
      <c r="AA50" s="18"/>
      <c r="AB50" s="20" t="str">
        <f t="shared" si="13"/>
        <v/>
      </c>
    </row>
    <row r="51" spans="1:28">
      <c r="A51" s="15"/>
      <c r="B51" s="15"/>
      <c r="C51" s="15"/>
      <c r="D51" s="15"/>
      <c r="E51" s="15"/>
      <c r="F51" s="15"/>
      <c r="G51" s="15"/>
      <c r="H51" s="15"/>
      <c r="I51" s="16"/>
      <c r="J51" s="16"/>
      <c r="K51" s="16"/>
      <c r="L51" s="15"/>
      <c r="M51" s="17"/>
      <c r="N51" s="18" t="str">
        <f t="shared" si="0"/>
        <v>fa-home</v>
      </c>
      <c r="O51" s="18" t="str">
        <f t="shared" si="1"/>
        <v/>
      </c>
      <c r="P51" s="18" t="str">
        <f t="shared" si="2"/>
        <v/>
      </c>
      <c r="Q51" s="18" t="str">
        <f t="shared" si="3"/>
        <v/>
      </c>
      <c r="R51" s="18" t="str">
        <f t="shared" si="4"/>
        <v/>
      </c>
      <c r="S51" s="18" t="str">
        <f t="shared" si="5"/>
        <v/>
      </c>
      <c r="T51" s="18" t="str">
        <f t="shared" si="6"/>
        <v/>
      </c>
      <c r="U51" s="19" t="str">
        <f t="shared" si="7"/>
        <v/>
      </c>
      <c r="V51" s="18" t="str">
        <f t="shared" si="8"/>
        <v/>
      </c>
      <c r="W51" s="18" t="str">
        <f t="shared" si="9"/>
        <v/>
      </c>
      <c r="X51" s="18" t="str">
        <f t="shared" si="10"/>
        <v/>
      </c>
      <c r="Y51" s="20" t="str">
        <f t="shared" si="11"/>
        <v/>
      </c>
      <c r="Z51" s="20" t="str">
        <f t="shared" si="12"/>
        <v/>
      </c>
      <c r="AA51" s="18"/>
      <c r="AB51" s="20" t="str">
        <f t="shared" si="13"/>
        <v/>
      </c>
    </row>
    <row r="52" spans="1:28">
      <c r="A52" s="15"/>
      <c r="B52" s="15"/>
      <c r="C52" s="15"/>
      <c r="D52" s="15"/>
      <c r="E52" s="15"/>
      <c r="F52" s="15"/>
      <c r="G52" s="15"/>
      <c r="H52" s="15"/>
      <c r="I52" s="16"/>
      <c r="J52" s="16"/>
      <c r="K52" s="16"/>
      <c r="L52" s="15"/>
      <c r="M52" s="17"/>
      <c r="N52" s="18" t="str">
        <f t="shared" si="0"/>
        <v>fa-home</v>
      </c>
      <c r="O52" s="18" t="str">
        <f t="shared" si="1"/>
        <v/>
      </c>
      <c r="P52" s="18" t="str">
        <f t="shared" si="2"/>
        <v/>
      </c>
      <c r="Q52" s="18" t="str">
        <f t="shared" si="3"/>
        <v/>
      </c>
      <c r="R52" s="18" t="str">
        <f t="shared" si="4"/>
        <v/>
      </c>
      <c r="S52" s="18" t="str">
        <f t="shared" si="5"/>
        <v/>
      </c>
      <c r="T52" s="18" t="str">
        <f t="shared" si="6"/>
        <v/>
      </c>
      <c r="U52" s="19" t="str">
        <f t="shared" si="7"/>
        <v/>
      </c>
      <c r="V52" s="18" t="str">
        <f t="shared" si="8"/>
        <v/>
      </c>
      <c r="W52" s="18" t="str">
        <f t="shared" si="9"/>
        <v/>
      </c>
      <c r="X52" s="18" t="str">
        <f t="shared" si="10"/>
        <v/>
      </c>
      <c r="Y52" s="20" t="str">
        <f t="shared" si="11"/>
        <v/>
      </c>
      <c r="Z52" s="20" t="str">
        <f t="shared" si="12"/>
        <v/>
      </c>
      <c r="AA52" s="18"/>
      <c r="AB52" s="20" t="str">
        <f t="shared" si="13"/>
        <v/>
      </c>
    </row>
    <row r="53" spans="1:28">
      <c r="A53" s="15"/>
      <c r="B53" s="15"/>
      <c r="C53" s="15"/>
      <c r="D53" s="15"/>
      <c r="E53" s="15"/>
      <c r="F53" s="15"/>
      <c r="G53" s="15"/>
      <c r="H53" s="15"/>
      <c r="I53" s="16"/>
      <c r="J53" s="16"/>
      <c r="K53" s="16"/>
      <c r="L53" s="15"/>
      <c r="M53" s="17"/>
      <c r="N53" s="18" t="str">
        <f t="shared" si="0"/>
        <v>fa-home</v>
      </c>
      <c r="O53" s="18" t="str">
        <f t="shared" si="1"/>
        <v/>
      </c>
      <c r="P53" s="18" t="str">
        <f t="shared" si="2"/>
        <v/>
      </c>
      <c r="Q53" s="18" t="str">
        <f t="shared" si="3"/>
        <v/>
      </c>
      <c r="R53" s="18" t="str">
        <f t="shared" si="4"/>
        <v/>
      </c>
      <c r="S53" s="18" t="str">
        <f t="shared" si="5"/>
        <v/>
      </c>
      <c r="T53" s="18" t="str">
        <f t="shared" si="6"/>
        <v/>
      </c>
      <c r="U53" s="19" t="str">
        <f t="shared" si="7"/>
        <v/>
      </c>
      <c r="V53" s="18" t="str">
        <f t="shared" si="8"/>
        <v/>
      </c>
      <c r="W53" s="18" t="str">
        <f t="shared" si="9"/>
        <v/>
      </c>
      <c r="X53" s="18" t="str">
        <f t="shared" si="10"/>
        <v/>
      </c>
      <c r="Y53" s="20" t="str">
        <f t="shared" si="11"/>
        <v/>
      </c>
      <c r="Z53" s="20" t="str">
        <f t="shared" si="12"/>
        <v/>
      </c>
      <c r="AA53" s="18"/>
      <c r="AB53" s="20" t="str">
        <f t="shared" si="13"/>
        <v/>
      </c>
    </row>
    <row r="54" spans="1:28">
      <c r="A54" s="15"/>
      <c r="B54" s="15"/>
      <c r="C54" s="15"/>
      <c r="D54" s="15"/>
      <c r="E54" s="15"/>
      <c r="F54" s="15"/>
      <c r="G54" s="15"/>
      <c r="H54" s="15"/>
      <c r="I54" s="16"/>
      <c r="J54" s="16"/>
      <c r="K54" s="16"/>
      <c r="L54" s="15"/>
      <c r="M54" s="17"/>
      <c r="N54" s="18" t="str">
        <f t="shared" si="0"/>
        <v>fa-home</v>
      </c>
      <c r="O54" s="18" t="str">
        <f t="shared" si="1"/>
        <v/>
      </c>
      <c r="P54" s="18" t="str">
        <f t="shared" si="2"/>
        <v/>
      </c>
      <c r="Q54" s="18" t="str">
        <f t="shared" si="3"/>
        <v/>
      </c>
      <c r="R54" s="18" t="str">
        <f t="shared" si="4"/>
        <v/>
      </c>
      <c r="S54" s="18" t="str">
        <f t="shared" si="5"/>
        <v/>
      </c>
      <c r="T54" s="18" t="str">
        <f t="shared" si="6"/>
        <v/>
      </c>
      <c r="U54" s="19" t="str">
        <f t="shared" si="7"/>
        <v/>
      </c>
      <c r="V54" s="18" t="str">
        <f t="shared" si="8"/>
        <v/>
      </c>
      <c r="W54" s="18" t="str">
        <f t="shared" si="9"/>
        <v/>
      </c>
      <c r="X54" s="18" t="str">
        <f t="shared" si="10"/>
        <v/>
      </c>
      <c r="Y54" s="20" t="str">
        <f t="shared" si="11"/>
        <v/>
      </c>
      <c r="Z54" s="20" t="str">
        <f t="shared" si="12"/>
        <v/>
      </c>
      <c r="AA54" s="18"/>
      <c r="AB54" s="20" t="str">
        <f t="shared" si="13"/>
        <v/>
      </c>
    </row>
  </sheetData>
  <mergeCells count="7">
    <mergeCell ref="A1:Q1"/>
    <mergeCell ref="A2:M2"/>
    <mergeCell ref="E2:G2"/>
    <mergeCell ref="H2:J2"/>
    <mergeCell ref="K2:M2"/>
    <mergeCell ref="L2:X2"/>
    <mergeCell ref="N2:AB2"/>
  </mergeCells>
  <conditionalFormatting sqref="A5:A32">
    <cfRule type="containsText" dxfId="0" priority="2" operator="between" text="inactive">
      <formula>NOT(ISERROR(SEARCH("inactive",A5)))</formula>
    </cfRule>
  </conditionalFormatting>
  <dataValidations count="8">
    <dataValidation type="list" allowBlank="1" sqref="A5:A54">
      <formula1>"active,inactive"</formula1>
    </dataValidation>
    <dataValidation type="list" allowBlank="1" sqref="B5:B54">
      <formula1>"🏢 Condo 公寓,🏠 Apartment 单位,🌿 即租即住,🌿 近国际学校,📌 商业旺铺,🌟 海景豪宅,📈 投资优选,🏞️ 花园住宅,🌟 2026全新地标,📈 海外投资优选,🌆 核心地段,🔥 限时优惠,✅ 永久产权,🏅 高回报,🏖️ 度假胜地,🏫 学区优选,🛣️ 交通便利,🔑 即买即住"</formula1>
    </dataValidation>
    <dataValidation type="list" allowBlank="1" sqref="E5:E54">
      <formula1>"Studio,1,2,3,4,5,6"</formula1>
    </dataValidation>
    <dataValidation type="list" allowBlank="1" sqref="F5:F54">
      <formula1>"1,2,3,4,5"</formula1>
    </dataValidation>
    <dataValidation type="list" allowBlank="1" sqref="I5:I54">
      <formula1>"24小时保安,保安亭,无保安"</formula1>
    </dataValidation>
    <dataValidation type="list" allowBlank="1" sqref="J5:J54">
      <formula1>"CCTV监控,无CCTV监控"</formula1>
    </dataValidation>
    <dataValidation type="list" allowBlank="1" sqref="K5:K54">
      <formula1>"等级1门禁,等级2门禁,等级3门禁,等级4门禁,等级5门禁,等级6门禁,无门禁"</formula1>
    </dataValidation>
    <dataValidation type="list" allowBlank="1" sqref="M5:M54">
      <formula1>"已出租 Rented,已售出 Sold,装修中 Renovating,议价空间 Negotiable,业主急售 Urgent,新上市 New Listing,独家代理 Exclusive,联系业主 Contact Owner,看房需预约 By Appt,短租可议 Short Stay"</formula1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📖 使用说明 Guide</vt:lpstr>
      <vt:lpstr>🏠 出租房源 Rentals</vt:lpstr>
      <vt:lpstr>🏡 出售房源 For Sale</vt:lpstr>
      <vt:lpstr>🏗️ 新楼盘 New Launches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USER</cp:lastModifiedBy>
  <cp:revision>0</cp:revision>
  <dcterms:created xsi:type="dcterms:W3CDTF">2026-04-30T07:07:00Z</dcterms:created>
  <dcterms:modified xsi:type="dcterms:W3CDTF">2026-05-13T12:01:57Z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8C1CCBF8C76A4403BB746CC066CE99BA_12</vt:lpwstr>
  </property>
  <property fmtid="{D5CDD505-2E9C-101B-9397-08002B2CF9AE}" pid="3" name="KSOProductBuildVer">
    <vt:lpwstr>2052-12.1.0.25865</vt:lpwstr>
  </property>
  <property fmtid="{D5CDD505-2E9C-101B-9397-08002B2CF9AE}" pid="4" name="CalculationRule">
    <vt:i4>0</vt:i4>
  </property>
</Properties>
</file>