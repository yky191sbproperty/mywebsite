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tabRatio="500" activeTab="1"/>
  </bookViews>
  <sheets>
    <sheet name="📖 使用说明 Guide" sheetId="1" r:id="rId1"/>
    <sheet name="🏠 出租房源 Rentals" sheetId="2" r:id="rId2"/>
    <sheet name="🏡 出售房源 For Sale" sheetId="3" r:id="rId3"/>
    <sheet name="🏗️ 新楼盘 New Launch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<sst xmlns="http://schemas.openxmlformats.org/spreadsheetml/2006/main" count="181" uniqueCount="96">
  <si>
    <r>
      <rPr>
        <b/>
        <sz val="14"/>
        <color rgb="FFFFFFFF"/>
        <rFont val="Arial"/>
        <charset val="1"/>
      </rPr>
      <t xml:space="preserve">🏠 Rex Yap </t>
    </r>
    <r>
      <rPr>
        <b/>
        <sz val="14"/>
        <color rgb="FFFFFFFF"/>
        <rFont val="Noto Sans CJK SC"/>
        <charset val="134"/>
      </rPr>
      <t xml:space="preserve">房源管理系统  </t>
    </r>
    <r>
      <rPr>
        <b/>
        <sz val="14"/>
        <color rgb="FFFFFFFF"/>
        <rFont val="Arial"/>
        <charset val="1"/>
      </rPr>
      <t>·  Property Listings Manager</t>
    </r>
  </si>
  <si>
    <t>✏️ 简化版 v4 — 保安分3列独立下拉，备注下拉，WhatsApp全自动生成！</t>
  </si>
  <si>
    <t>✏️ 输入列 A–M</t>
  </si>
  <si>
    <r>
      <rPr>
        <sz val="10"/>
        <color rgb="FF333333"/>
        <rFont val="Arial"/>
        <charset val="1"/>
      </rPr>
      <t xml:space="preserve">  A  </t>
    </r>
    <r>
      <rPr>
        <sz val="10"/>
        <color rgb="FF333333"/>
        <rFont val="Noto Sans CJK SC"/>
        <charset val="134"/>
      </rPr>
      <t xml:space="preserve">状态 — </t>
    </r>
    <r>
      <rPr>
        <sz val="10"/>
        <color rgb="FF333333"/>
        <rFont val="Arial"/>
        <charset val="1"/>
      </rPr>
      <t>active / inactive</t>
    </r>
  </si>
  <si>
    <r>
      <rPr>
        <sz val="10"/>
        <color rgb="FF333333"/>
        <rFont val="Arial"/>
        <charset val="1"/>
      </rPr>
      <t xml:space="preserve">  B  </t>
    </r>
    <r>
      <rPr>
        <sz val="10"/>
        <color rgb="FF333333"/>
        <rFont val="Noto Sans CJK SC"/>
        <charset val="134"/>
      </rPr>
      <t xml:space="preserve">徽章 </t>
    </r>
    <r>
      <rPr>
        <sz val="10"/>
        <color rgb="FF333333"/>
        <rFont val="Arial"/>
        <charset val="1"/>
      </rPr>
      <t xml:space="preserve">Badge — </t>
    </r>
    <r>
      <rPr>
        <sz val="10"/>
        <color rgb="FF333333"/>
        <rFont val="Noto Sans CJK SC"/>
        <charset val="134"/>
      </rPr>
      <t xml:space="preserve">下拉（含🏢 </t>
    </r>
    <r>
      <rPr>
        <sz val="10"/>
        <color rgb="FF333333"/>
        <rFont val="Arial"/>
        <charset val="1"/>
      </rPr>
      <t>Condo / 🏠 Apartment</t>
    </r>
    <r>
      <rPr>
        <sz val="10"/>
        <color rgb="FF333333"/>
        <rFont val="Noto Sans CJK SC"/>
        <charset val="134"/>
      </rPr>
      <t>）</t>
    </r>
  </si>
  <si>
    <r>
      <rPr>
        <sz val="10"/>
        <color rgb="FF333333"/>
        <rFont val="Arial"/>
        <charset val="1"/>
      </rPr>
      <t xml:space="preserve">  C  </t>
    </r>
    <r>
      <rPr>
        <sz val="10"/>
        <color rgb="FF333333"/>
        <rFont val="Noto Sans CJK SC"/>
        <charset val="134"/>
      </rPr>
      <t>图片文件名</t>
    </r>
  </si>
  <si>
    <r>
      <rPr>
        <sz val="10"/>
        <color rgb="FF333333"/>
        <rFont val="Arial"/>
        <charset val="1"/>
      </rPr>
      <t xml:space="preserve">  D  </t>
    </r>
    <r>
      <rPr>
        <sz val="10"/>
        <color rgb="FF333333"/>
        <rFont val="Noto Sans CJK SC"/>
        <charset val="134"/>
      </rPr>
      <t>楼名</t>
    </r>
    <r>
      <rPr>
        <sz val="10"/>
        <color rgb="FF333333"/>
        <rFont val="Arial"/>
        <charset val="1"/>
      </rPr>
      <t>·</t>
    </r>
    <r>
      <rPr>
        <sz val="10"/>
        <color rgb="FF333333"/>
        <rFont val="Noto Sans CJK SC"/>
        <charset val="134"/>
      </rPr>
      <t>地点（中文）</t>
    </r>
  </si>
  <si>
    <r>
      <rPr>
        <sz val="10"/>
        <color rgb="FF333333"/>
        <rFont val="Arial"/>
        <charset val="1"/>
      </rPr>
      <t xml:space="preserve">  E  </t>
    </r>
    <r>
      <rPr>
        <sz val="10"/>
        <color rgb="FF333333"/>
        <rFont val="Noto Sans CJK SC"/>
        <charset val="134"/>
      </rPr>
      <t>房间数 — 下拉：</t>
    </r>
    <r>
      <rPr>
        <sz val="10"/>
        <color rgb="FF333333"/>
        <rFont val="Arial"/>
        <charset val="1"/>
      </rPr>
      <t>Studio/1-6</t>
    </r>
  </si>
  <si>
    <r>
      <rPr>
        <sz val="10"/>
        <color rgb="FF333333"/>
        <rFont val="Arial"/>
        <charset val="1"/>
      </rPr>
      <t xml:space="preserve">  F  </t>
    </r>
    <r>
      <rPr>
        <sz val="10"/>
        <color rgb="FF333333"/>
        <rFont val="Noto Sans CJK SC"/>
        <charset val="134"/>
      </rPr>
      <t>卫生间数 — 下拉：</t>
    </r>
    <r>
      <rPr>
        <sz val="10"/>
        <color rgb="FF333333"/>
        <rFont val="Arial"/>
        <charset val="1"/>
      </rPr>
      <t>1-5</t>
    </r>
  </si>
  <si>
    <r>
      <rPr>
        <sz val="10"/>
        <color rgb="FF333333"/>
        <rFont val="Arial"/>
        <charset val="1"/>
      </rPr>
      <t xml:space="preserve">  G  </t>
    </r>
    <r>
      <rPr>
        <sz val="10"/>
        <color rgb="FF333333"/>
        <rFont val="Noto Sans CJK SC"/>
        <charset val="134"/>
      </rPr>
      <t xml:space="preserve">面积 </t>
    </r>
    <r>
      <rPr>
        <sz val="10"/>
        <color rgb="FF333333"/>
        <rFont val="Arial"/>
        <charset val="1"/>
      </rPr>
      <t>sqft</t>
    </r>
    <r>
      <rPr>
        <sz val="10"/>
        <color rgb="FF333333"/>
        <rFont val="Noto Sans CJK SC"/>
        <charset val="134"/>
      </rPr>
      <t>（只填数字）</t>
    </r>
  </si>
  <si>
    <r>
      <rPr>
        <sz val="10"/>
        <color rgb="FF333333"/>
        <rFont val="Arial"/>
        <charset val="1"/>
      </rPr>
      <t xml:space="preserve">  H  </t>
    </r>
    <r>
      <rPr>
        <sz val="10"/>
        <color rgb="FF333333"/>
        <rFont val="Noto Sans CJK SC"/>
        <charset val="134"/>
      </rPr>
      <t>娱乐设施（自由填写，如：游泳池</t>
    </r>
    <r>
      <rPr>
        <sz val="10"/>
        <color rgb="FF333333"/>
        <rFont val="Arial"/>
        <charset val="1"/>
      </rPr>
      <t>·</t>
    </r>
    <r>
      <rPr>
        <sz val="10"/>
        <color rgb="FF333333"/>
        <rFont val="Noto Sans CJK SC"/>
        <charset val="134"/>
      </rPr>
      <t>健身室</t>
    </r>
    <r>
      <rPr>
        <sz val="10"/>
        <color rgb="FF333333"/>
        <rFont val="Arial"/>
        <charset val="1"/>
      </rPr>
      <t>·BBQ</t>
    </r>
    <r>
      <rPr>
        <sz val="10"/>
        <color rgb="FF333333"/>
        <rFont val="Noto Sans CJK SC"/>
        <charset val="134"/>
      </rPr>
      <t>区）</t>
    </r>
  </si>
  <si>
    <r>
      <rPr>
        <sz val="10"/>
        <color rgb="FF333333"/>
        <rFont val="Arial"/>
        <charset val="1"/>
      </rPr>
      <t xml:space="preserve">  I  🔒 </t>
    </r>
    <r>
      <rPr>
        <sz val="10"/>
        <color rgb="FF333333"/>
        <rFont val="Noto Sans CJK SC"/>
        <charset val="134"/>
      </rPr>
      <t>保安人员 — 下拉选择：</t>
    </r>
    <r>
      <rPr>
        <sz val="10"/>
        <color rgb="FF333333"/>
        <rFont val="Arial"/>
        <charset val="1"/>
      </rPr>
      <t>24</t>
    </r>
    <r>
      <rPr>
        <sz val="10"/>
        <color rgb="FF333333"/>
        <rFont val="Noto Sans CJK SC"/>
        <charset val="134"/>
      </rPr>
      <t xml:space="preserve">小时保安 </t>
    </r>
    <r>
      <rPr>
        <sz val="10"/>
        <color rgb="FF333333"/>
        <rFont val="Arial"/>
        <charset val="1"/>
      </rPr>
      <t xml:space="preserve">/ </t>
    </r>
    <r>
      <rPr>
        <sz val="10"/>
        <color rgb="FF333333"/>
        <rFont val="Noto Sans CJK SC"/>
        <charset val="134"/>
      </rPr>
      <t xml:space="preserve">保安亭 </t>
    </r>
    <r>
      <rPr>
        <sz val="10"/>
        <color rgb="FF333333"/>
        <rFont val="Arial"/>
        <charset val="1"/>
      </rPr>
      <t xml:space="preserve">/ </t>
    </r>
    <r>
      <rPr>
        <sz val="10"/>
        <color rgb="FF333333"/>
        <rFont val="Noto Sans CJK SC"/>
        <charset val="134"/>
      </rPr>
      <t>无保安</t>
    </r>
  </si>
  <si>
    <r>
      <rPr>
        <sz val="10"/>
        <color rgb="FF333333"/>
        <rFont val="Arial"/>
        <charset val="1"/>
      </rPr>
      <t xml:space="preserve">  J  📷 CCTV — </t>
    </r>
    <r>
      <rPr>
        <sz val="10"/>
        <color rgb="FF333333"/>
        <rFont val="Noto Sans CJK SC"/>
        <charset val="134"/>
      </rPr>
      <t>下拉选择：</t>
    </r>
    <r>
      <rPr>
        <sz val="10"/>
        <color rgb="FF333333"/>
        <rFont val="Arial"/>
        <charset val="1"/>
      </rPr>
      <t>CCTV</t>
    </r>
    <r>
      <rPr>
        <sz val="10"/>
        <color rgb="FF333333"/>
        <rFont val="Noto Sans CJK SC"/>
        <charset val="134"/>
      </rPr>
      <t xml:space="preserve">监控 </t>
    </r>
    <r>
      <rPr>
        <sz val="10"/>
        <color rgb="FF333333"/>
        <rFont val="Arial"/>
        <charset val="1"/>
      </rPr>
      <t xml:space="preserve">/ </t>
    </r>
    <r>
      <rPr>
        <sz val="10"/>
        <color rgb="FF333333"/>
        <rFont val="Noto Sans CJK SC"/>
        <charset val="134"/>
      </rPr>
      <t>无</t>
    </r>
    <r>
      <rPr>
        <sz val="10"/>
        <color rgb="FF333333"/>
        <rFont val="Arial"/>
        <charset val="1"/>
      </rPr>
      <t>CCTV</t>
    </r>
    <r>
      <rPr>
        <sz val="10"/>
        <color rgb="FF333333"/>
        <rFont val="Noto Sans CJK SC"/>
        <charset val="134"/>
      </rPr>
      <t>监控</t>
    </r>
  </si>
  <si>
    <r>
      <rPr>
        <sz val="10"/>
        <color rgb="FF333333"/>
        <rFont val="Arial"/>
        <charset val="1"/>
      </rPr>
      <t xml:space="preserve">  K  🚪 </t>
    </r>
    <r>
      <rPr>
        <sz val="10"/>
        <color rgb="FF333333"/>
        <rFont val="Noto Sans CJK SC"/>
        <charset val="134"/>
      </rPr>
      <t>门禁等级 — 下拉选择：等级</t>
    </r>
    <r>
      <rPr>
        <sz val="10"/>
        <color rgb="FF333333"/>
        <rFont val="Arial"/>
        <charset val="1"/>
      </rPr>
      <t>1–6</t>
    </r>
    <r>
      <rPr>
        <sz val="10"/>
        <color rgb="FF333333"/>
        <rFont val="Noto Sans CJK SC"/>
        <charset val="134"/>
      </rPr>
      <t xml:space="preserve">门禁 </t>
    </r>
    <r>
      <rPr>
        <sz val="10"/>
        <color rgb="FF333333"/>
        <rFont val="Arial"/>
        <charset val="1"/>
      </rPr>
      <t xml:space="preserve">/ </t>
    </r>
    <r>
      <rPr>
        <sz val="10"/>
        <color rgb="FF333333"/>
        <rFont val="Noto Sans CJK SC"/>
        <charset val="134"/>
      </rPr>
      <t>无门禁</t>
    </r>
  </si>
  <si>
    <r>
      <rPr>
        <sz val="10"/>
        <color rgb="FF333333"/>
        <rFont val="Arial"/>
        <charset val="1"/>
      </rPr>
      <t xml:space="preserve">  L  </t>
    </r>
    <r>
      <rPr>
        <sz val="10"/>
        <color rgb="FF333333"/>
        <rFont val="Noto Sans CJK SC"/>
        <charset val="134"/>
      </rPr>
      <t xml:space="preserve">价格 </t>
    </r>
    <r>
      <rPr>
        <sz val="10"/>
        <color rgb="FF333333"/>
        <rFont val="Arial"/>
        <charset val="1"/>
      </rPr>
      <t>RM</t>
    </r>
    <r>
      <rPr>
        <sz val="10"/>
        <color rgb="FF333333"/>
        <rFont val="Noto Sans CJK SC"/>
        <charset val="134"/>
      </rPr>
      <t>（只填数字）</t>
    </r>
  </si>
  <si>
    <r>
      <rPr>
        <sz val="10"/>
        <color rgb="FF333333"/>
        <rFont val="Arial"/>
        <charset val="1"/>
      </rPr>
      <t xml:space="preserve">  M  </t>
    </r>
    <r>
      <rPr>
        <sz val="10"/>
        <color rgb="FF333333"/>
        <rFont val="Noto Sans CJK SC"/>
        <charset val="134"/>
      </rPr>
      <t>备注 — 下拉选择（已出租</t>
    </r>
    <r>
      <rPr>
        <sz val="10"/>
        <color rgb="FF333333"/>
        <rFont val="Arial"/>
        <charset val="1"/>
      </rPr>
      <t>/</t>
    </r>
    <r>
      <rPr>
        <sz val="10"/>
        <color rgb="FF333333"/>
        <rFont val="Noto Sans CJK SC"/>
        <charset val="134"/>
      </rPr>
      <t>已售出</t>
    </r>
    <r>
      <rPr>
        <sz val="10"/>
        <color rgb="FF333333"/>
        <rFont val="Arial"/>
        <charset val="1"/>
      </rPr>
      <t>/</t>
    </r>
    <r>
      <rPr>
        <sz val="10"/>
        <color rgb="FF333333"/>
        <rFont val="Noto Sans CJK SC"/>
        <charset val="134"/>
      </rPr>
      <t>新上市等）</t>
    </r>
  </si>
  <si>
    <t>⚡ 自动生成 (N–AB 列)</t>
  </si>
  <si>
    <r>
      <rPr>
        <sz val="10"/>
        <color rgb="FF2E6DA4"/>
        <rFont val="Arial"/>
        <charset val="1"/>
      </rPr>
      <t xml:space="preserve">  N  </t>
    </r>
    <r>
      <rPr>
        <sz val="10"/>
        <color rgb="FF2E6DA4"/>
        <rFont val="Noto Sans CJK SC"/>
        <charset val="134"/>
      </rPr>
      <t xml:space="preserve">图标  </t>
    </r>
    <r>
      <rPr>
        <sz val="10"/>
        <color rgb="FF2E6DA4"/>
        <rFont val="Arial"/>
        <charset val="1"/>
      </rPr>
      <t xml:space="preserve">·  O/P/Q  </t>
    </r>
    <r>
      <rPr>
        <sz val="10"/>
        <color rgb="FF2E6DA4"/>
        <rFont val="Noto Sans CJK SC"/>
        <charset val="134"/>
      </rPr>
      <t>标题（中</t>
    </r>
    <r>
      <rPr>
        <sz val="10"/>
        <color rgb="FF2E6DA4"/>
        <rFont val="Arial"/>
        <charset val="1"/>
      </rPr>
      <t>/</t>
    </r>
    <r>
      <rPr>
        <sz val="10"/>
        <color rgb="FF2E6DA4"/>
        <rFont val="Noto Sans CJK SC"/>
        <charset val="134"/>
      </rPr>
      <t>英</t>
    </r>
    <r>
      <rPr>
        <sz val="10"/>
        <color rgb="FF2E6DA4"/>
        <rFont val="Arial"/>
        <charset val="1"/>
      </rPr>
      <t>/</t>
    </r>
    <r>
      <rPr>
        <sz val="10"/>
        <color rgb="FF2E6DA4"/>
        <rFont val="Noto Sans CJK SC"/>
        <charset val="134"/>
      </rPr>
      <t>马）</t>
    </r>
  </si>
  <si>
    <r>
      <rPr>
        <sz val="10"/>
        <color rgb="FF2E6DA4"/>
        <rFont val="Arial"/>
        <charset val="1"/>
      </rPr>
      <t xml:space="preserve">  R/S/T  </t>
    </r>
    <r>
      <rPr>
        <sz val="10"/>
        <color rgb="FF2E6DA4"/>
        <rFont val="Noto Sans CJK SC"/>
        <charset val="134"/>
      </rPr>
      <t>特点（房型</t>
    </r>
    <r>
      <rPr>
        <sz val="10"/>
        <color rgb="FF2E6DA4"/>
        <rFont val="Arial"/>
        <charset val="1"/>
      </rPr>
      <t>·</t>
    </r>
    <r>
      <rPr>
        <sz val="10"/>
        <color rgb="FF2E6DA4"/>
        <rFont val="Noto Sans CJK SC"/>
        <charset val="134"/>
      </rPr>
      <t>面积</t>
    </r>
    <r>
      <rPr>
        <sz val="10"/>
        <color rgb="FF2E6DA4"/>
        <rFont val="Arial"/>
        <charset val="1"/>
      </rPr>
      <t>·</t>
    </r>
    <r>
      <rPr>
        <sz val="10"/>
        <color rgb="FF2E6DA4"/>
        <rFont val="Noto Sans CJK SC"/>
        <charset val="134"/>
      </rPr>
      <t>设施）中</t>
    </r>
    <r>
      <rPr>
        <sz val="10"/>
        <color rgb="FF2E6DA4"/>
        <rFont val="Arial"/>
        <charset val="1"/>
      </rPr>
      <t>/</t>
    </r>
    <r>
      <rPr>
        <sz val="10"/>
        <color rgb="FF2E6DA4"/>
        <rFont val="Noto Sans CJK SC"/>
        <charset val="134"/>
      </rPr>
      <t>英</t>
    </r>
    <r>
      <rPr>
        <sz val="10"/>
        <color rgb="FF2E6DA4"/>
        <rFont val="Arial"/>
        <charset val="1"/>
      </rPr>
      <t>/</t>
    </r>
    <r>
      <rPr>
        <sz val="10"/>
        <color rgb="FF2E6DA4"/>
        <rFont val="Noto Sans CJK SC"/>
        <charset val="134"/>
      </rPr>
      <t>马</t>
    </r>
  </si>
  <si>
    <r>
      <rPr>
        <sz val="10"/>
        <color rgb="FF333333"/>
        <rFont val="Arial"/>
        <charset val="1"/>
      </rPr>
      <t xml:space="preserve">  U  🔒 </t>
    </r>
    <r>
      <rPr>
        <sz val="10"/>
        <color rgb="FF333333"/>
        <rFont val="Noto Sans CJK SC"/>
        <charset val="134"/>
      </rPr>
      <t xml:space="preserve">保安摘要 </t>
    </r>
    <r>
      <rPr>
        <sz val="10"/>
        <color rgb="FF333333"/>
        <rFont val="Arial"/>
        <charset val="1"/>
      </rPr>
      <t>ZH</t>
    </r>
    <r>
      <rPr>
        <sz val="10"/>
        <color rgb="FF333333"/>
        <rFont val="Noto Sans CJK SC"/>
        <charset val="134"/>
      </rPr>
      <t xml:space="preserve">（自动合并 </t>
    </r>
    <r>
      <rPr>
        <sz val="10"/>
        <color rgb="FF333333"/>
        <rFont val="Arial"/>
        <charset val="1"/>
      </rPr>
      <t xml:space="preserve">I+J+K </t>
    </r>
    <r>
      <rPr>
        <sz val="10"/>
        <color rgb="FF333333"/>
        <rFont val="Noto Sans CJK SC"/>
        <charset val="134"/>
      </rPr>
      <t>三列）</t>
    </r>
  </si>
  <si>
    <r>
      <rPr>
        <sz val="10"/>
        <color rgb="FF2E6DA4"/>
        <rFont val="Arial"/>
        <charset val="1"/>
      </rPr>
      <t xml:space="preserve">  V/W/X  </t>
    </r>
    <r>
      <rPr>
        <sz val="10"/>
        <color rgb="FF2E6DA4"/>
        <rFont val="Noto Sans CJK SC"/>
        <charset val="134"/>
      </rPr>
      <t>价格（中</t>
    </r>
    <r>
      <rPr>
        <sz val="10"/>
        <color rgb="FF2E6DA4"/>
        <rFont val="Arial"/>
        <charset val="1"/>
      </rPr>
      <t>/</t>
    </r>
    <r>
      <rPr>
        <sz val="10"/>
        <color rgb="FF2E6DA4"/>
        <rFont val="Noto Sans CJK SC"/>
        <charset val="134"/>
      </rPr>
      <t>英</t>
    </r>
    <r>
      <rPr>
        <sz val="10"/>
        <color rgb="FF2E6DA4"/>
        <rFont val="Arial"/>
        <charset val="1"/>
      </rPr>
      <t>/</t>
    </r>
    <r>
      <rPr>
        <sz val="10"/>
        <color rgb="FF2E6DA4"/>
        <rFont val="Noto Sans CJK SC"/>
        <charset val="134"/>
      </rPr>
      <t>马）</t>
    </r>
  </si>
  <si>
    <r>
      <rPr>
        <sz val="10"/>
        <color rgb="FF1E3A5F"/>
        <rFont val="Arial"/>
        <charset val="1"/>
      </rPr>
      <t xml:space="preserve">  Y/Z/AB  📱 WhatsApp </t>
    </r>
    <r>
      <rPr>
        <sz val="10"/>
        <color rgb="FF1E3A5F"/>
        <rFont val="Noto Sans CJK SC"/>
        <charset val="134"/>
      </rPr>
      <t>文字（中</t>
    </r>
    <r>
      <rPr>
        <sz val="10"/>
        <color rgb="FF1E3A5F"/>
        <rFont val="Arial"/>
        <charset val="1"/>
      </rPr>
      <t>/</t>
    </r>
    <r>
      <rPr>
        <sz val="10"/>
        <color rgb="FF1E3A5F"/>
        <rFont val="Noto Sans CJK SC"/>
        <charset val="134"/>
      </rPr>
      <t>英</t>
    </r>
    <r>
      <rPr>
        <sz val="10"/>
        <color rgb="FF1E3A5F"/>
        <rFont val="Arial"/>
        <charset val="1"/>
      </rPr>
      <t>/</t>
    </r>
    <r>
      <rPr>
        <sz val="10"/>
        <color rgb="FF1E3A5F"/>
        <rFont val="Noto Sans CJK SC"/>
        <charset val="134"/>
      </rPr>
      <t>马）— 含保安资料，直接复制发送</t>
    </r>
  </si>
  <si>
    <t>📤 上传步骤</t>
  </si>
  <si>
    <r>
      <rPr>
        <sz val="10"/>
        <color rgb="FF333333"/>
        <rFont val="Arial"/>
        <charset val="1"/>
      </rPr>
      <t xml:space="preserve">  1. </t>
    </r>
    <r>
      <rPr>
        <sz val="10"/>
        <color rgb="FF333333"/>
        <rFont val="Noto Sans CJK SC"/>
        <charset val="134"/>
      </rPr>
      <t xml:space="preserve">保存 </t>
    </r>
    <r>
      <rPr>
        <sz val="10"/>
        <color rgb="FF333333"/>
        <rFont val="Arial"/>
        <charset val="1"/>
      </rPr>
      <t>Excel</t>
    </r>
  </si>
  <si>
    <r>
      <rPr>
        <sz val="10"/>
        <color rgb="FF333333"/>
        <rFont val="Arial"/>
        <charset val="1"/>
      </rPr>
      <t xml:space="preserve">  2. </t>
    </r>
    <r>
      <rPr>
        <sz val="10"/>
        <color rgb="FF333333"/>
        <rFont val="Noto Sans CJK SC"/>
        <charset val="134"/>
      </rPr>
      <t>方法</t>
    </r>
    <r>
      <rPr>
        <sz val="10"/>
        <color rgb="FF333333"/>
        <rFont val="Arial"/>
        <charset val="1"/>
      </rPr>
      <t>A</t>
    </r>
    <r>
      <rPr>
        <sz val="10"/>
        <color rgb="FF333333"/>
        <rFont val="Noto Sans CJK SC"/>
        <charset val="134"/>
      </rPr>
      <t>：</t>
    </r>
    <r>
      <rPr>
        <sz val="10"/>
        <color rgb="FF333333"/>
        <rFont val="Arial"/>
        <charset val="1"/>
      </rPr>
      <t xml:space="preserve">python convert.py → </t>
    </r>
    <r>
      <rPr>
        <sz val="10"/>
        <color rgb="FF333333"/>
        <rFont val="Noto Sans CJK SC"/>
        <charset val="134"/>
      </rPr>
      <t xml:space="preserve">生成 </t>
    </r>
    <r>
      <rPr>
        <sz val="10"/>
        <color rgb="FF333333"/>
        <rFont val="Arial"/>
        <charset val="1"/>
      </rPr>
      <t>listingsData.js → git push</t>
    </r>
  </si>
  <si>
    <r>
      <rPr>
        <sz val="10"/>
        <color rgb="FF333333"/>
        <rFont val="Arial"/>
        <charset val="1"/>
      </rPr>
      <t xml:space="preserve">  3. </t>
    </r>
    <r>
      <rPr>
        <sz val="10"/>
        <color rgb="FF333333"/>
        <rFont val="Noto Sans CJK SC"/>
        <charset val="134"/>
      </rPr>
      <t>方法</t>
    </r>
    <r>
      <rPr>
        <sz val="10"/>
        <color rgb="FF333333"/>
        <rFont val="Arial"/>
        <charset val="1"/>
      </rPr>
      <t>B</t>
    </r>
    <r>
      <rPr>
        <sz val="10"/>
        <color rgb="FF333333"/>
        <rFont val="Noto Sans CJK SC"/>
        <charset val="134"/>
      </rPr>
      <t xml:space="preserve">：直接上传 </t>
    </r>
    <r>
      <rPr>
        <sz val="10"/>
        <color rgb="FF333333"/>
        <rFont val="Arial"/>
        <charset val="1"/>
      </rPr>
      <t xml:space="preserve">xlsx </t>
    </r>
    <r>
      <rPr>
        <sz val="10"/>
        <color rgb="FF333333"/>
        <rFont val="Noto Sans CJK SC"/>
        <charset val="134"/>
      </rPr>
      <t xml:space="preserve">到 </t>
    </r>
    <r>
      <rPr>
        <sz val="10"/>
        <color rgb="FF333333"/>
        <rFont val="Arial"/>
        <charset val="1"/>
      </rPr>
      <t xml:space="preserve">GitHub → Actions </t>
    </r>
    <r>
      <rPr>
        <sz val="10"/>
        <color rgb="FF333333"/>
        <rFont val="Noto Sans CJK SC"/>
        <charset val="134"/>
      </rPr>
      <t>自动处理</t>
    </r>
  </si>
  <si>
    <r>
      <rPr>
        <b/>
        <sz val="10"/>
        <color rgb="FFFFFFFF"/>
        <rFont val="Arial"/>
        <charset val="1"/>
      </rPr>
      <t xml:space="preserve">🏷️ Badge </t>
    </r>
    <r>
      <rPr>
        <b/>
        <sz val="10"/>
        <color rgb="FFFFFFFF"/>
        <rFont val="Noto Sans CJK SC"/>
        <charset val="134"/>
      </rPr>
      <t>一览</t>
    </r>
  </si>
  <si>
    <r>
      <rPr>
        <sz val="10"/>
        <rFont val="Arial"/>
        <charset val="1"/>
      </rPr>
      <t xml:space="preserve">🏢 Condo </t>
    </r>
    <r>
      <rPr>
        <sz val="10"/>
        <rFont val="Noto Sans CJK SC"/>
        <charset val="134"/>
      </rPr>
      <t>公寓</t>
    </r>
  </si>
  <si>
    <r>
      <rPr>
        <sz val="10"/>
        <rFont val="Arial"/>
        <charset val="1"/>
      </rPr>
      <t xml:space="preserve">🏠 Apartment </t>
    </r>
    <r>
      <rPr>
        <sz val="10"/>
        <rFont val="Noto Sans CJK SC"/>
        <charset val="134"/>
      </rPr>
      <t>单位</t>
    </r>
  </si>
  <si>
    <t>🌿 即租即住</t>
  </si>
  <si>
    <t>🌿 近国际学校</t>
  </si>
  <si>
    <t>📌 商业旺铺</t>
  </si>
  <si>
    <t>🌟 海景豪宅</t>
  </si>
  <si>
    <t>📈 投资优选</t>
  </si>
  <si>
    <t>🏞️ 花园住宅</t>
  </si>
  <si>
    <r>
      <rPr>
        <sz val="10"/>
        <rFont val="Arial"/>
        <charset val="1"/>
      </rPr>
      <t>🌟 2026</t>
    </r>
    <r>
      <rPr>
        <sz val="10"/>
        <rFont val="Noto Sans CJK SC"/>
        <charset val="134"/>
      </rPr>
      <t>全新地标</t>
    </r>
  </si>
  <si>
    <t>📈 海外投资优选</t>
  </si>
  <si>
    <t>🌆 核心地段</t>
  </si>
  <si>
    <t>🔥 限时优惠</t>
  </si>
  <si>
    <t>✅ 永久产权</t>
  </si>
  <si>
    <t>🏅 高回报</t>
  </si>
  <si>
    <t>🏖️ 度假胜地</t>
  </si>
  <si>
    <t>🏫 学区优选</t>
  </si>
  <si>
    <t>🛣️ 交通便利</t>
  </si>
  <si>
    <t>🔑 即买即住</t>
  </si>
  <si>
    <t>🏠 出租房源 Rentals</t>
  </si>
  <si>
    <t>✏️ 你只需填这些  |  Only fill these columns</t>
  </si>
  <si>
    <t>状态
Status ★</t>
  </si>
  <si>
    <t>徽章 Badge ★
(下拉选择)</t>
  </si>
  <si>
    <t>图片文件名
Image File</t>
  </si>
  <si>
    <t>楼名·地点 ★
Name · Location</t>
  </si>
  <si>
    <t>房间数 ★
Bedrooms</t>
  </si>
  <si>
    <t>卫生间数
Bathrooms</t>
  </si>
  <si>
    <t>面积 sqft
(数字)</t>
  </si>
  <si>
    <t>娱乐设施
Facilities</t>
  </si>
  <si>
    <t>🔒 保安人员
Guard Type</t>
  </si>
  <si>
    <r>
      <rPr>
        <b/>
        <sz val="9"/>
        <color rgb="FF1E3A5F"/>
        <rFont val="Arial"/>
        <charset val="1"/>
      </rPr>
      <t xml:space="preserve">📷 CCTV
</t>
    </r>
    <r>
      <rPr>
        <b/>
        <sz val="9"/>
        <color rgb="FF1E3A5F"/>
        <rFont val="Noto Sans CJK SC"/>
        <charset val="134"/>
      </rPr>
      <t>监控</t>
    </r>
  </si>
  <si>
    <t>🚪 门禁
Access Level</t>
  </si>
  <si>
    <t>价格 RM ★
(数字)</t>
  </si>
  <si>
    <t>备注
Remarks</t>
  </si>
  <si>
    <t>⚡ Icon</t>
  </si>
  <si>
    <t>⚡ 标题 ZH</t>
  </si>
  <si>
    <t>⚡ Title EN</t>
  </si>
  <si>
    <t>⚡ Title MS</t>
  </si>
  <si>
    <t>⚡ 特点 ZH</t>
  </si>
  <si>
    <t>⚡ Features EN</t>
  </si>
  <si>
    <t>⚡ Feat MS</t>
  </si>
  <si>
    <t>⚡ 保安摘要 ZH</t>
  </si>
  <si>
    <t>⚡ 价格 ZH</t>
  </si>
  <si>
    <t>⚡ Price EN</t>
  </si>
  <si>
    <t>⚡ Price MS</t>
  </si>
  <si>
    <t>⚡ WA ZH</t>
  </si>
  <si>
    <t>⚡ WA EN</t>
  </si>
  <si>
    <t>(spare)</t>
  </si>
  <si>
    <t>⚡ WA MS</t>
  </si>
  <si>
    <t>active</t>
  </si>
  <si>
    <r>
      <rPr>
        <i/>
        <sz val="9"/>
        <color rgb="FF888888"/>
        <rFont val="Arial"/>
        <charset val="1"/>
      </rPr>
      <t xml:space="preserve">🏢 Condo </t>
    </r>
    <r>
      <rPr>
        <i/>
        <sz val="9"/>
        <color rgb="FF888888"/>
        <rFont val="Noto Sans CJK SC"/>
        <charset val="134"/>
      </rPr>
      <t>公寓</t>
    </r>
  </si>
  <si>
    <t>condo_kk_1.jpg</t>
  </si>
  <si>
    <t>海滨公寓 | 亚庇</t>
  </si>
  <si>
    <t>3</t>
  </si>
  <si>
    <t>2</t>
  </si>
  <si>
    <t>950</t>
  </si>
  <si>
    <t>游泳池·健身室·BBQ区</t>
  </si>
  <si>
    <r>
      <rPr>
        <i/>
        <sz val="9"/>
        <color rgb="FF888888"/>
        <rFont val="Arial"/>
        <charset val="1"/>
      </rPr>
      <t>24</t>
    </r>
    <r>
      <rPr>
        <i/>
        <sz val="9"/>
        <color rgb="FF888888"/>
        <rFont val="Noto Sans CJK SC"/>
        <charset val="134"/>
      </rPr>
      <t>小时保安</t>
    </r>
  </si>
  <si>
    <r>
      <rPr>
        <i/>
        <sz val="9"/>
        <color rgb="FF888888"/>
        <rFont val="Arial"/>
        <charset val="1"/>
      </rPr>
      <t>CCTV</t>
    </r>
    <r>
      <rPr>
        <i/>
        <sz val="9"/>
        <color rgb="FF888888"/>
        <rFont val="Noto Sans CJK SC"/>
        <charset val="134"/>
      </rPr>
      <t>监控</t>
    </r>
  </si>
  <si>
    <t>等级3门禁</t>
  </si>
  <si>
    <t>2800</t>
  </si>
  <si>
    <t>新上市 New Listing</t>
  </si>
  <si>
    <t>🏢 Condo 公寓</t>
  </si>
  <si>
    <t>Tiara ParkHome| Karjang</t>
  </si>
  <si>
    <t>24小时保安</t>
  </si>
  <si>
    <t>CCTV监控</t>
  </si>
  <si>
    <t>等级6门禁</t>
  </si>
  <si>
    <t>业主急售 Urgent</t>
  </si>
  <si>
    <t>🏡 出售房源 For Sale</t>
  </si>
  <si>
    <t>🏗️ 新楼盘 New Launches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</si>
</sst>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color theme="1"/>
      <name val="Calibri"/>
      <charset val="1"/>
    </font>
    <font>
      <b/>
      <sz val="14"/>
      <color rgb="FFFFFFFF"/>
      <name val="Noto Sans CJK SC"/>
      <charset val="1"/>
    </font>
    <font>
      <b/>
      <sz val="10"/>
      <color rgb="FF1E3A5F"/>
      <name val="Noto Sans CJK SC"/>
      <charset val="1"/>
    </font>
    <font>
      <b/>
      <sz val="9"/>
      <color rgb="FF1E3A5F"/>
      <name val="Noto Sans CJK SC"/>
      <charset val="1"/>
    </font>
    <font>
      <b/>
      <sz val="9"/>
      <color rgb="FF1E3A5F"/>
      <name val="Arial"/>
      <charset val="1"/>
    </font>
    <font>
      <i/>
      <sz val="9"/>
      <color rgb="FF888888"/>
      <name val="Arial"/>
      <charset val="1"/>
    </font>
    <font>
      <i/>
      <sz val="9"/>
      <color rgb="FF888888"/>
      <name val="Noto Sans CJK SC"/>
      <charset val="1"/>
    </font>
    <font>
      <sz val="10"/>
      <color rgb="FF222222"/>
      <name val="Arial"/>
      <charset val="1"/>
    </font>
    <font>
      <sz val="9"/>
      <color rgb="FF2E6DA4"/>
      <name val="Arial"/>
      <charset val="1"/>
    </font>
    <font>
      <sz val="10"/>
      <color rgb="FF222222"/>
      <name val="宋体"/>
      <charset val="1"/>
    </font>
    <font>
      <b/>
      <sz val="14"/>
      <color rgb="FFFFFFFF"/>
      <name val="Arial"/>
      <charset val="1"/>
    </font>
    <font>
      <b/>
      <sz val="11"/>
      <color rgb="FFFFFFFF"/>
      <name val="Noto Sans CJK SC"/>
      <charset val="1"/>
    </font>
    <font>
      <sz val="10"/>
      <color rgb="FF333333"/>
      <name val="Arial"/>
      <charset val="1"/>
    </font>
    <font>
      <sz val="10"/>
      <color rgb="FF2E6DA4"/>
      <name val="Arial"/>
      <charset val="1"/>
    </font>
    <font>
      <sz val="10"/>
      <color rgb="FF1E3A5F"/>
      <name val="Arial"/>
      <charset val="1"/>
    </font>
    <font>
      <b/>
      <sz val="10"/>
      <color rgb="FFFFFFFF"/>
      <name val="Noto Sans CJK SC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Noto Sans CJK SC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2E6DA4"/>
      <name val="Noto Sans CJK SC"/>
      <charset val="134"/>
    </font>
    <font>
      <sz val="10"/>
      <color rgb="FF333333"/>
      <name val="Noto Sans CJK SC"/>
      <charset val="134"/>
    </font>
    <font>
      <b/>
      <sz val="9"/>
      <color rgb="FF1E3A5F"/>
      <name val="Noto Sans CJK SC"/>
      <charset val="134"/>
    </font>
    <font>
      <sz val="10"/>
      <name val="Noto Sans CJK SC"/>
      <charset val="134"/>
    </font>
    <font>
      <b/>
      <sz val="10"/>
      <color rgb="FFFFFFFF"/>
      <name val="Noto Sans CJK SC"/>
      <charset val="134"/>
    </font>
    <font>
      <b/>
      <sz val="14"/>
      <color rgb="FFFFFFFF"/>
      <name val="Noto Sans CJK SC"/>
      <charset val="134"/>
    </font>
    <font>
      <i/>
      <sz val="9"/>
      <color rgb="FF888888"/>
      <name val="Noto Sans CJK SC"/>
      <charset val="134"/>
    </font>
    <font>
      <sz val="10"/>
      <color rgb="FF1E3A5F"/>
      <name val="Noto Sans CJK SC"/>
      <charset val="134"/>
    </font>
  </fonts>
  <fills count="42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DE7"/>
        <bgColor rgb="FFFAFAFA"/>
      </patternFill>
    </fill>
    <fill>
      <patternFill patternType="solid">
        <fgColor rgb="FFFCE4EC"/>
        <bgColor rgb="FFFEE2E2"/>
      </patternFill>
    </fill>
    <fill>
      <patternFill patternType="solid">
        <fgColor rgb="FFEDE7F6"/>
        <bgColor rgb="FFFCE4EC"/>
      </patternFill>
    </fill>
    <fill>
      <patternFill patternType="solid">
        <fgColor rgb="FFD9E8F5"/>
        <bgColor rgb="FFEDE7F6"/>
      </patternFill>
    </fill>
    <fill>
      <patternFill patternType="solid">
        <fgColor rgb="FFE8F5E9"/>
        <bgColor rgb="FFEDE7F6"/>
      </patternFill>
    </fill>
    <fill>
      <patternFill patternType="solid">
        <fgColor rgb="FFFAFAFA"/>
        <bgColor rgb="FFFFFFFF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AFA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Border="0" applyAlignment="0" applyProtection="0"/>
    <xf numFmtId="44" fontId="19" fillId="0" borderId="0" applyBorder="0" applyAlignment="0" applyProtection="0"/>
    <xf numFmtId="9" fontId="19" fillId="0" borderId="0" applyBorder="0" applyAlignment="0" applyProtection="0"/>
    <xf numFmtId="41" fontId="19" fillId="0" borderId="0" applyBorder="0" applyAlignment="0" applyProtection="0"/>
    <xf numFmtId="42" fontId="19" fillId="0" borderId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5" applyNumberFormat="0" applyAlignment="0" applyProtection="0">
      <alignment vertical="center"/>
    </xf>
    <xf numFmtId="0" fontId="30" fillId="13" borderId="6" applyNumberFormat="0" applyAlignment="0" applyProtection="0">
      <alignment vertical="center"/>
    </xf>
    <xf numFmtId="0" fontId="31" fillId="13" borderId="5" applyNumberFormat="0" applyAlignment="0" applyProtection="0">
      <alignment vertical="center"/>
    </xf>
    <xf numFmtId="0" fontId="32" fillId="14" borderId="7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 indent="1"/>
    </xf>
    <xf numFmtId="0" fontId="12" fillId="10" borderId="0" xfId="0" applyFont="1" applyFill="1" applyBorder="1" applyAlignment="1">
      <alignment horizontal="left" vertical="center" wrapText="1" indent="1"/>
    </xf>
    <xf numFmtId="0" fontId="12" fillId="4" borderId="0" xfId="0" applyFont="1" applyFill="1" applyBorder="1" applyAlignment="1">
      <alignment horizontal="left" vertical="center" wrapText="1" indent="1"/>
    </xf>
    <xf numFmtId="0" fontId="12" fillId="5" borderId="0" xfId="0" applyFont="1" applyFill="1" applyBorder="1" applyAlignment="1">
      <alignment horizontal="left" vertical="center" wrapText="1" indent="1"/>
    </xf>
    <xf numFmtId="0" fontId="0" fillId="0" borderId="0" xfId="0" applyBorder="1" applyAlignment="1"/>
    <xf numFmtId="0" fontId="2" fillId="6" borderId="0" xfId="0" applyFont="1" applyFill="1" applyBorder="1" applyAlignment="1">
      <alignment horizontal="left" vertical="center" wrapText="1" indent="1"/>
    </xf>
    <xf numFmtId="0" fontId="13" fillId="10" borderId="0" xfId="0" applyFont="1" applyFill="1" applyBorder="1" applyAlignment="1">
      <alignment horizontal="left" vertical="center" wrapText="1" indent="1"/>
    </xf>
    <xf numFmtId="0" fontId="14" fillId="7" borderId="0" xfId="0" applyFont="1" applyFill="1" applyBorder="1" applyAlignment="1">
      <alignment horizontal="left" vertical="center" wrapText="1" indent="1"/>
    </xf>
    <xf numFmtId="0" fontId="15" fillId="2" borderId="0" xfId="0" applyFont="1" applyFill="1" applyBorder="1" applyAlignment="1">
      <alignment horizontal="left" vertical="center" wrapText="1" indent="1"/>
    </xf>
    <xf numFmtId="0" fontId="16" fillId="9" borderId="0" xfId="0" applyFont="1" applyFill="1" applyBorder="1" applyAlignment="1">
      <alignment horizontal="left" vertical="center" wrapText="1" indent="1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217346"/>
      <rgbColor rgb="00CCCCCC"/>
      <rgbColor rgb="00888888"/>
      <rgbColor rgb="009999FF"/>
      <rgbColor rgb="00993366"/>
      <rgbColor rgb="00FFFDE7"/>
      <rgbColor rgb="00E8F5E9"/>
      <rgbColor rgb="00660066"/>
      <rgbColor rgb="00FF8080"/>
      <rgbColor rgb="002E6DA4"/>
      <rgbColor rgb="00EDE7F6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9E8F5"/>
      <rgbColor rgb="00FAFAFA"/>
      <rgbColor rgb="00FCE4EC"/>
      <rgbColor rgb="0099CCFF"/>
      <rgbColor rgb="00FF99CC"/>
      <rgbColor rgb="00CC99FF"/>
      <rgbColor rgb="00FEE2E2"/>
      <rgbColor rgb="003366FF"/>
      <rgbColor rgb="0033CCCC"/>
      <rgbColor rgb="0099CC00"/>
      <rgbColor rgb="00FFCC00"/>
      <rgbColor rgb="00FF9900"/>
      <rgbColor rgb="00E36209"/>
      <rgbColor rgb="00666699"/>
      <rgbColor rgb="00969696"/>
      <rgbColor rgb="001E3A5F"/>
      <rgbColor rgb="00339966"/>
      <rgbColor rgb="00003300"/>
      <rgbColor rgb="00222222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3A5F"/>
  </sheetPr>
  <dimension ref="A1:F37"/>
  <sheetViews>
    <sheetView showGridLines="0" topLeftCell="A5" workbookViewId="0">
      <selection activeCell="A1" sqref="A1:F1"/>
    </sheetView>
  </sheetViews>
  <sheetFormatPr defaultColWidth="8.67619047619048" defaultRowHeight="15" outlineLevelCol="5"/>
  <cols>
    <col min="1" max="1" width="35" style="1" customWidth="1"/>
    <col min="2" max="3" width="30" style="1" customWidth="1"/>
    <col min="4" max="4" width="52" style="1" customWidth="1"/>
  </cols>
  <sheetData>
    <row r="1" ht="31.5" customHeight="1" spans="1:6">
      <c r="A1" s="21" t="s">
        <v>0</v>
      </c>
      <c r="B1" s="21"/>
      <c r="C1" s="21"/>
      <c r="D1" s="21"/>
      <c r="E1" s="21"/>
      <c r="F1" s="21"/>
    </row>
    <row r="2" ht="21.75" customHeight="1" spans="1:6">
      <c r="A2" s="22" t="s">
        <v>1</v>
      </c>
      <c r="B2" s="22"/>
      <c r="C2" s="22"/>
      <c r="D2" s="22"/>
      <c r="E2" s="22"/>
      <c r="F2" s="22"/>
    </row>
    <row r="3" ht="7.5" customHeight="1"/>
    <row r="4" ht="18" customHeight="1" spans="1:6">
      <c r="A4" s="23" t="s">
        <v>2</v>
      </c>
      <c r="B4" s="23"/>
      <c r="C4" s="23"/>
      <c r="D4" s="23"/>
      <c r="E4" s="23"/>
      <c r="F4" s="23"/>
    </row>
    <row r="5" ht="18" customHeight="1" spans="1:6">
      <c r="A5" s="24" t="s">
        <v>3</v>
      </c>
      <c r="B5" s="24"/>
      <c r="C5" s="24"/>
      <c r="D5" s="24"/>
      <c r="E5" s="24"/>
      <c r="F5" s="24"/>
    </row>
    <row r="6" ht="18" customHeight="1" spans="1:6">
      <c r="A6" s="24" t="s">
        <v>4</v>
      </c>
      <c r="B6" s="24"/>
      <c r="C6" s="24"/>
      <c r="D6" s="24"/>
      <c r="E6" s="24"/>
      <c r="F6" s="24"/>
    </row>
    <row r="7" ht="18" customHeight="1" spans="1:6">
      <c r="A7" s="24" t="s">
        <v>5</v>
      </c>
      <c r="B7" s="24"/>
      <c r="C7" s="24"/>
      <c r="D7" s="24"/>
      <c r="E7" s="24"/>
      <c r="F7" s="24"/>
    </row>
    <row r="8" ht="18" customHeight="1" spans="1:6">
      <c r="A8" s="24" t="s">
        <v>6</v>
      </c>
      <c r="B8" s="24"/>
      <c r="C8" s="24"/>
      <c r="D8" s="24"/>
      <c r="E8" s="24"/>
      <c r="F8" s="24"/>
    </row>
    <row r="9" ht="18" customHeight="1" spans="1:6">
      <c r="A9" s="24" t="s">
        <v>7</v>
      </c>
      <c r="B9" s="24"/>
      <c r="C9" s="24"/>
      <c r="D9" s="24"/>
      <c r="E9" s="24"/>
      <c r="F9" s="24"/>
    </row>
    <row r="10" ht="18" customHeight="1" spans="1:6">
      <c r="A10" s="24" t="s">
        <v>8</v>
      </c>
      <c r="B10" s="24"/>
      <c r="C10" s="24"/>
      <c r="D10" s="24"/>
      <c r="E10" s="24"/>
      <c r="F10" s="24"/>
    </row>
    <row r="11" ht="18" customHeight="1" spans="1:6">
      <c r="A11" s="24" t="s">
        <v>9</v>
      </c>
      <c r="B11" s="24"/>
      <c r="C11" s="24"/>
      <c r="D11" s="24"/>
      <c r="E11" s="24"/>
      <c r="F11" s="24"/>
    </row>
    <row r="12" ht="18" customHeight="1" spans="1:6">
      <c r="A12" s="24" t="s">
        <v>10</v>
      </c>
      <c r="B12" s="24"/>
      <c r="C12" s="24"/>
      <c r="D12" s="24"/>
      <c r="E12" s="24"/>
      <c r="F12" s="24"/>
    </row>
    <row r="13" ht="18" customHeight="1" spans="1:6">
      <c r="A13" s="25" t="s">
        <v>11</v>
      </c>
      <c r="B13" s="25"/>
      <c r="C13" s="25"/>
      <c r="D13" s="25"/>
      <c r="E13" s="25"/>
      <c r="F13" s="25"/>
    </row>
    <row r="14" ht="18" customHeight="1" spans="1:6">
      <c r="A14" s="25" t="s">
        <v>12</v>
      </c>
      <c r="B14" s="25"/>
      <c r="C14" s="25"/>
      <c r="D14" s="25"/>
      <c r="E14" s="25"/>
      <c r="F14" s="25"/>
    </row>
    <row r="15" ht="18" customHeight="1" spans="1:6">
      <c r="A15" s="25" t="s">
        <v>13</v>
      </c>
      <c r="B15" s="25"/>
      <c r="C15" s="25"/>
      <c r="D15" s="25"/>
      <c r="E15" s="25"/>
      <c r="F15" s="25"/>
    </row>
    <row r="16" ht="18" customHeight="1" spans="1:6">
      <c r="A16" s="24" t="s">
        <v>14</v>
      </c>
      <c r="B16" s="24"/>
      <c r="C16" s="24"/>
      <c r="D16" s="24"/>
      <c r="E16" s="24"/>
      <c r="F16" s="24"/>
    </row>
    <row r="17" ht="18" customHeight="1" spans="1:6">
      <c r="A17" s="26" t="s">
        <v>15</v>
      </c>
      <c r="B17" s="26"/>
      <c r="C17" s="26"/>
      <c r="D17" s="26"/>
      <c r="E17" s="26"/>
      <c r="F17" s="26"/>
    </row>
    <row r="18" ht="18" customHeight="1" spans="1:6">
      <c r="A18" s="27"/>
      <c r="B18" s="27"/>
      <c r="C18" s="27"/>
      <c r="D18" s="27"/>
      <c r="E18" s="27"/>
      <c r="F18" s="27"/>
    </row>
    <row r="19" ht="18" customHeight="1" spans="1:6">
      <c r="A19" s="28" t="s">
        <v>16</v>
      </c>
      <c r="B19" s="28"/>
      <c r="C19" s="28"/>
      <c r="D19" s="28"/>
      <c r="E19" s="28"/>
      <c r="F19" s="28"/>
    </row>
    <row r="20" ht="18" customHeight="1" spans="1:6">
      <c r="A20" s="29" t="s">
        <v>17</v>
      </c>
      <c r="B20" s="29"/>
      <c r="C20" s="29"/>
      <c r="D20" s="29"/>
      <c r="E20" s="29"/>
      <c r="F20" s="29"/>
    </row>
    <row r="21" ht="18" customHeight="1" spans="1:6">
      <c r="A21" s="29" t="s">
        <v>18</v>
      </c>
      <c r="B21" s="29"/>
      <c r="C21" s="29"/>
      <c r="D21" s="29"/>
      <c r="E21" s="29"/>
      <c r="F21" s="29"/>
    </row>
    <row r="22" ht="18" customHeight="1" spans="1:6">
      <c r="A22" s="25" t="s">
        <v>19</v>
      </c>
      <c r="B22" s="25"/>
      <c r="C22" s="25"/>
      <c r="D22" s="25"/>
      <c r="E22" s="25"/>
      <c r="F22" s="25"/>
    </row>
    <row r="23" ht="18" customHeight="1" spans="1:6">
      <c r="A23" s="29" t="s">
        <v>20</v>
      </c>
      <c r="B23" s="29"/>
      <c r="C23" s="29"/>
      <c r="D23" s="29"/>
      <c r="E23" s="29"/>
      <c r="F23" s="29"/>
    </row>
    <row r="24" ht="18" customHeight="1" spans="1:6">
      <c r="A24" s="30" t="s">
        <v>21</v>
      </c>
      <c r="B24" s="30"/>
      <c r="C24" s="30"/>
      <c r="D24" s="30"/>
      <c r="E24" s="30"/>
      <c r="F24" s="30"/>
    </row>
    <row r="25" ht="18" customHeight="1" spans="1:6">
      <c r="A25" s="27"/>
      <c r="B25" s="27"/>
      <c r="C25" s="27"/>
      <c r="D25" s="27"/>
      <c r="E25" s="27"/>
      <c r="F25" s="27"/>
    </row>
    <row r="26" ht="18" customHeight="1" spans="1:6">
      <c r="A26" s="31" t="s">
        <v>22</v>
      </c>
      <c r="B26" s="31"/>
      <c r="C26" s="31"/>
      <c r="D26" s="31"/>
      <c r="E26" s="31"/>
      <c r="F26" s="31"/>
    </row>
    <row r="27" ht="18" customHeight="1" spans="1:6">
      <c r="A27" s="24" t="s">
        <v>23</v>
      </c>
      <c r="B27" s="24"/>
      <c r="C27" s="24"/>
      <c r="D27" s="24"/>
      <c r="E27" s="24"/>
      <c r="F27" s="24"/>
    </row>
    <row r="28" ht="18" customHeight="1" spans="1:6">
      <c r="A28" s="24" t="s">
        <v>24</v>
      </c>
      <c r="B28" s="24"/>
      <c r="C28" s="24"/>
      <c r="D28" s="24"/>
      <c r="E28" s="24"/>
      <c r="F28" s="24"/>
    </row>
    <row r="29" ht="18" customHeight="1" spans="1:6">
      <c r="A29" s="24" t="s">
        <v>25</v>
      </c>
      <c r="B29" s="24"/>
      <c r="C29" s="24"/>
      <c r="D29" s="24"/>
      <c r="E29" s="24"/>
      <c r="F29" s="24"/>
    </row>
    <row r="30" customHeight="1"/>
    <row r="31" ht="18" customHeight="1" spans="1:6">
      <c r="A31" s="32" t="s">
        <v>26</v>
      </c>
      <c r="B31" s="32"/>
      <c r="C31" s="32"/>
      <c r="D31" s="32"/>
      <c r="E31" s="32"/>
      <c r="F31" s="32"/>
    </row>
    <row r="32" customHeight="1" spans="1:6">
      <c r="A32" s="33" t="s">
        <v>27</v>
      </c>
      <c r="B32" s="33" t="s">
        <v>28</v>
      </c>
      <c r="C32" s="34" t="s">
        <v>29</v>
      </c>
    </row>
    <row r="33" customHeight="1" spans="1:3">
      <c r="A33" s="34" t="s">
        <v>30</v>
      </c>
      <c r="B33" s="34" t="s">
        <v>31</v>
      </c>
      <c r="C33" s="34" t="s">
        <v>32</v>
      </c>
    </row>
    <row r="34" customHeight="1" spans="1:3">
      <c r="A34" s="34" t="s">
        <v>33</v>
      </c>
      <c r="B34" s="34" t="s">
        <v>34</v>
      </c>
      <c r="C34" s="33" t="s">
        <v>35</v>
      </c>
    </row>
    <row r="35" customHeight="1" spans="1:3">
      <c r="A35" s="34" t="s">
        <v>36</v>
      </c>
      <c r="B35" s="34" t="s">
        <v>37</v>
      </c>
      <c r="C35" s="34" t="s">
        <v>38</v>
      </c>
    </row>
    <row r="36" customHeight="1" spans="1:3">
      <c r="A36" s="34" t="s">
        <v>39</v>
      </c>
      <c r="B36" s="34" t="s">
        <v>40</v>
      </c>
      <c r="C36" s="34" t="s">
        <v>41</v>
      </c>
    </row>
    <row r="37" customHeight="1" spans="1:3">
      <c r="A37" s="34" t="s">
        <v>42</v>
      </c>
      <c r="B37" s="34" t="s">
        <v>43</v>
      </c>
      <c r="C37" s="34" t="s">
        <v>44</v>
      </c>
    </row>
  </sheetData>
  <mergeCells count="47">
    <mergeCell ref="A1:F1"/>
    <mergeCell ref="B1:D1"/>
    <mergeCell ref="A2:F2"/>
    <mergeCell ref="B2:D2"/>
    <mergeCell ref="A4:F4"/>
    <mergeCell ref="C4:D4"/>
    <mergeCell ref="A5:F5"/>
    <mergeCell ref="B5:D5"/>
    <mergeCell ref="A6:F6"/>
    <mergeCell ref="C6:D6"/>
    <mergeCell ref="A7:F7"/>
    <mergeCell ref="B7:D7"/>
    <mergeCell ref="A8:F8"/>
    <mergeCell ref="C8:D8"/>
    <mergeCell ref="A9:F9"/>
    <mergeCell ref="B9:D9"/>
    <mergeCell ref="A10:F10"/>
    <mergeCell ref="C10:D10"/>
    <mergeCell ref="A11:F11"/>
    <mergeCell ref="B11:D11"/>
    <mergeCell ref="A12:F12"/>
    <mergeCell ref="C12:D12"/>
    <mergeCell ref="A13:F13"/>
    <mergeCell ref="B13:D13"/>
    <mergeCell ref="A14:F14"/>
    <mergeCell ref="C14:D14"/>
    <mergeCell ref="A15:F15"/>
    <mergeCell ref="B15:D15"/>
    <mergeCell ref="A16:F16"/>
    <mergeCell ref="C16:D16"/>
    <mergeCell ref="A17:F17"/>
    <mergeCell ref="B17:D17"/>
    <mergeCell ref="A18:F18"/>
    <mergeCell ref="C18:D18"/>
    <mergeCell ref="A19:F19"/>
    <mergeCell ref="A20:F20"/>
    <mergeCell ref="A21:F21"/>
    <mergeCell ref="B21:D21"/>
    <mergeCell ref="A22:F22"/>
    <mergeCell ref="A23:F23"/>
    <mergeCell ref="A24:F24"/>
    <mergeCell ref="A25:F25"/>
    <mergeCell ref="A26:F26"/>
    <mergeCell ref="A27:F27"/>
    <mergeCell ref="A28:F28"/>
    <mergeCell ref="A29:F29"/>
    <mergeCell ref="A31:F3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6DA4"/>
  </sheetPr>
  <dimension ref="A1:AB54"/>
  <sheetViews>
    <sheetView showGridLines="0" tabSelected="1" workbookViewId="0">
      <pane ySplit="4" topLeftCell="A5" activePane="bottomLeft" state="frozen"/>
      <selection/>
      <selection pane="bottomLeft" activeCell="D6" sqref="D6"/>
    </sheetView>
  </sheetViews>
  <sheetFormatPr defaultColWidth="8.67619047619048" defaultRowHeight="15"/>
  <cols>
    <col min="1" max="1" width="10" style="1" customWidth="1"/>
    <col min="2" max="3" width="18" style="1" customWidth="1"/>
    <col min="4" max="4" width="26" style="1" customWidth="1"/>
    <col min="5" max="7" width="10" style="1" customWidth="1"/>
    <col min="8" max="8" width="22" style="1" customWidth="1"/>
    <col min="9" max="11" width="14" style="1" customWidth="1"/>
    <col min="12" max="14" width="12" style="1" customWidth="1"/>
    <col min="15" max="17" width="24" style="1" customWidth="1"/>
    <col min="18" max="21" width="30" style="1" customWidth="1"/>
    <col min="22" max="24" width="20" style="1" customWidth="1"/>
    <col min="25" max="26" width="30" style="1" customWidth="1"/>
    <col min="27" max="27" width="5" style="1" customWidth="1"/>
    <col min="28" max="28" width="30" style="1" customWidth="1"/>
  </cols>
  <sheetData>
    <row r="1" ht="31.5" customHeight="1" spans="1:28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</row>
    <row r="2" ht="21.75" customHeight="1" spans="1:28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36" customHeight="1" spans="1:28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 t="s">
        <v>54</v>
      </c>
      <c r="I3" s="6" t="s">
        <v>55</v>
      </c>
      <c r="J3" s="7" t="s">
        <v>56</v>
      </c>
      <c r="K3" s="6" t="s">
        <v>57</v>
      </c>
      <c r="L3" s="5" t="s">
        <v>58</v>
      </c>
      <c r="M3" s="8" t="s">
        <v>59</v>
      </c>
      <c r="N3" s="9" t="s">
        <v>60</v>
      </c>
      <c r="O3" s="10" t="s">
        <v>61</v>
      </c>
      <c r="P3" s="9" t="s">
        <v>62</v>
      </c>
      <c r="Q3" s="9" t="s">
        <v>63</v>
      </c>
      <c r="R3" s="10" t="s">
        <v>64</v>
      </c>
      <c r="S3" s="9" t="s">
        <v>65</v>
      </c>
      <c r="T3" s="9" t="s">
        <v>66</v>
      </c>
      <c r="U3" s="10" t="s">
        <v>67</v>
      </c>
      <c r="V3" s="10" t="s">
        <v>68</v>
      </c>
      <c r="W3" s="9" t="s">
        <v>69</v>
      </c>
      <c r="X3" s="9" t="s">
        <v>70</v>
      </c>
      <c r="Y3" s="11" t="s">
        <v>71</v>
      </c>
      <c r="Z3" s="11" t="s">
        <v>72</v>
      </c>
      <c r="AA3" s="9" t="s">
        <v>73</v>
      </c>
      <c r="AB3" s="11" t="s">
        <v>74</v>
      </c>
    </row>
    <row r="4" ht="18" customHeight="1" spans="1:28">
      <c r="A4" s="12" t="s">
        <v>75</v>
      </c>
      <c r="B4" s="12" t="s">
        <v>76</v>
      </c>
      <c r="C4" s="12" t="s">
        <v>77</v>
      </c>
      <c r="D4" s="13" t="s">
        <v>78</v>
      </c>
      <c r="E4" s="12" t="s">
        <v>79</v>
      </c>
      <c r="F4" s="12" t="s">
        <v>80</v>
      </c>
      <c r="G4" s="12" t="s">
        <v>81</v>
      </c>
      <c r="H4" s="13" t="s">
        <v>82</v>
      </c>
      <c r="I4" s="12" t="s">
        <v>83</v>
      </c>
      <c r="J4" s="12" t="s">
        <v>84</v>
      </c>
      <c r="K4" s="13" t="s">
        <v>85</v>
      </c>
      <c r="L4" s="12" t="s">
        <v>86</v>
      </c>
      <c r="M4" s="13" t="s">
        <v>87</v>
      </c>
    </row>
    <row r="5" ht="51.75" customHeight="1" spans="1:28">
      <c r="A5" s="14" t="s">
        <v>75</v>
      </c>
      <c r="B5" s="14" t="s">
        <v>88</v>
      </c>
      <c r="C5" s="14"/>
      <c r="D5" s="20" t="s">
        <v>89</v>
      </c>
      <c r="E5" s="14">
        <v>2</v>
      </c>
      <c r="F5" s="14">
        <v>2</v>
      </c>
      <c r="G5" s="14">
        <v>110</v>
      </c>
      <c r="H5" s="14"/>
      <c r="I5" s="15" t="s">
        <v>90</v>
      </c>
      <c r="J5" s="15" t="s">
        <v>91</v>
      </c>
      <c r="K5" s="15" t="s">
        <v>92</v>
      </c>
      <c r="L5" s="14">
        <v>1800</v>
      </c>
      <c r="M5" s="16" t="s">
        <v>93</v>
      </c>
      <c r="N5" s="17" t="str">
        <f t="shared" ref="N5:N54" si="0">IFERROR(_xlfn.IFS(B5="🏢 Condo 公寓","fa-building",B5="🏠 Apartment 单位","fa-home",B5="🌿 即租即住","fa-home",B5="🌿 近国际学校","fa-school",B5="📌 商业旺铺","fa-store",B5="🌟 海景豪宅","fa-water-ladder",B5="📈 投资优选","fa-chart-line",B5="🏞️ 花园住宅","fa-tree",B5="🌟 2026全新地标","fa-drafting-compass",B5="📈 海外投资优选","fa-globe",B5="🌆 核心地段","fa-city",B5="🔥 限时优惠","fa-fire",B5="✅ 永久产权","fa-certificate",B5="🏅 高回报","fa-medal",B5="🏖️ 度假胜地","fa-umbrella-beach",B5="🏫 学区优选","fa-graduation-cap",B5="🛣️ 交通便利","fa-road",B5="🔑 即买即住","fa-key"),"fa-home")</f>
        <v>fa-building</v>
      </c>
      <c r="O5" s="17" t="str">
        <f t="shared" ref="O5:O54" si="1">IF(D5&lt;&gt;"",D5,"")</f>
        <v>Tiara ParkHome| Karjang</v>
      </c>
      <c r="P5" s="17" t="str">
        <f t="shared" ref="P5:P54" si="2">IF(D5&lt;&gt;"",SUBSTITUTE(SUBSTITUTE(SUBSTITUTE(SUBSTITUTE(SUBSTITUTE(SUBSTITUTE(SUBSTITUTE(SUBSTITUTE(SUBSTITUTE(SUBSTITUTE(D5,"亚庇","Kota Kinabalu"),"公寓","Condo"),"排屋","Terrace"),"别墅","Villa"),"店铺","Shop"),"新山","Johor Bahru"),"市中心","City Centre"),"高级","Premium"),"单位","Unit"),"住宅","Residence"),"")</f>
        <v>Tiara ParkHome| Karjang</v>
      </c>
      <c r="Q5" s="17" t="str">
        <f t="shared" ref="Q5:Q54" si="3">IF(D5&lt;&gt;"",SUBSTITUTE(SUBSTITUTE(SUBSTITUTE(SUBSTITUTE(SUBSTITUTE(SUBSTITUTE(SUBSTITUTE(SUBSTITUTE(SUBSTITUTE(SUBSTITUTE(D5,"亚庇","Kota Kinabalu"),"公寓","Kondominium"),"排屋","Rumah Teres"),"别墅","Vila"),"店铺","Kedai"),"新山","Johor Bahru"),"市中心","Pusat Bandar"),"高级","Premium"),"单位","Unit"),"住宅","Kediaman"),"")</f>
        <v>Tiara ParkHome| Karjang</v>
      </c>
      <c r="R5" s="17" t="str">
        <f t="shared" ref="R5:R54" si="4">IF(D5&lt;&gt;"","📍 "&amp;IF(E5&lt;&gt;"",E5&amp;"房","")&amp;IF(F5&lt;&gt;"",F5&amp;"卫 ","")&amp;IF(G5&lt;&gt;"",G5&amp;" sqft","")&amp;IF(AND(OR(E5&lt;&gt;"",G5&lt;&gt;""),H5&lt;&gt;"")," · ","")&amp;IF(H5&lt;&gt;"",H5,""),"")</f>
        <v>📍 2房2卫 110 sqft</v>
      </c>
      <c r="S5" s="17" t="str">
        <f t="shared" ref="S5:S54" si="5">IF(D5&lt;&gt;"","📍 "&amp;IF(E5&lt;&gt;"",E5&amp;"BR ","")&amp;IF(F5&lt;&gt;"",F5&amp;"BA ","")&amp;IF(G5&lt;&gt;"",G5&amp;" sqft","")&amp;IF(AND(OR(E5&lt;&gt;"",G5&lt;&gt;""),H5&lt;&gt;"")," · ","")&amp;IF(H5&lt;&gt;"",SUBSTITUTE(SUBSTITUTE(SUBSTITUTE(SUBSTITUTE(SUBSTITUTE(SUBSTITUTE(SUBSTITUTE(SUBSTITUTE(SUBSTITUTE(SUBSTITUTE(H5,"游泳池","Swimming Pool"),"健身室","Gym"),"儿童乐园","Kids Play Area"),"BBQ区","BBQ Area"),"会所","Clubhouse"),"网球场","Tennis Court"),"篮球场","Basketball Court"),"停车场","Parking"),"便利店","Mini Mart"),"咖啡厅","Cafe"),""),"")</f>
        <v>📍 2BR 2BA 110 sqft</v>
      </c>
      <c r="T5" s="17" t="str">
        <f t="shared" ref="T5:T54" si="6">IF(D5&lt;&gt;"","📍 "&amp;IF(E5&lt;&gt;"",E5&amp;"Bilik ","")&amp;IF(F5&lt;&gt;"",F5&amp;"Bilik Air ","")&amp;IF(G5&lt;&gt;"",G5&amp;" sqft","")&amp;IF(AND(OR(E5&lt;&gt;"",G5&lt;&gt;""),H5&lt;&gt;"")," · ","")&amp;IF(H5&lt;&gt;"",SUBSTITUTE(SUBSTITUTE(SUBSTITUTE(SUBSTITUTE(SUBSTITUTE(SUBSTITUTE(SUBSTITUTE(SUBSTITUTE(SUBSTITUTE(SUBSTITUTE(H5,"游泳池","Kolam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>📍 2Bilik 2Bilik Air 110 sqft</v>
      </c>
      <c r="U5" s="18" t="str">
        <f t="shared" ref="U5:U54" si="7">IF(OR(I5&lt;&gt;"",J5&lt;&gt;"",K5&lt;&gt;""),"🔒 "&amp;IF(I5&lt;&gt;"",I5,"")&amp;IF(AND(I5&lt;&gt;"",J5&lt;&gt;"")," · ","")&amp;IF(J5&lt;&gt;"",J5,"")&amp;IF(AND(OR(I5&lt;&gt;"",J5&lt;&gt;""),K5&lt;&gt;"")," · ","")&amp;IF(K5&lt;&gt;"",K5,""),"")</f>
        <v>🔒 24小时保安 · CCTV监控 · 等级6门禁</v>
      </c>
      <c r="V5" s="17" t="str">
        <f t="shared" ref="V5:V54" si="8">IF(L5&lt;&gt;"","💰 月租 RM "&amp;TEXT(L5,"#,##0"),"")</f>
        <v>💰 月租 RM 1,800</v>
      </c>
      <c r="W5" s="17" t="str">
        <f t="shared" ref="W5:W54" si="9">IF(L5&lt;&gt;"","💰 Monthly Rent RM "&amp;TEXT(L5,"#,##0"),"")</f>
        <v>💰 Monthly Rent RM 1,800</v>
      </c>
      <c r="X5" s="17" t="str">
        <f t="shared" ref="X5:X54" si="10">IF(L5&lt;&gt;"","💰 Sewa Bulanan RM "&amp;TEXT(L5,"#,##0"),"")</f>
        <v>💰 Sewa Bulanan RM 1,800</v>
      </c>
      <c r="Y5" s="19" t="str">
        <f t="shared" ref="Y5:Y54" si="11">IF(D5&lt;&gt;"","您好！我想咨询出租：
🏠 "&amp;D5&amp;"
"&amp;IF(E5&lt;&gt;"","🛏 "&amp;E5&amp;"房"&amp;IF(F5&lt;&gt;""," "&amp;F5&amp;"卫","")&amp;"
","")&amp;IF(G5&lt;&gt;"","📐 "&amp;G5&amp;" sqft
","")&amp;IF(H5&lt;&gt;"","🏊 "&amp;H5&amp;"
","")&amp;IF(U5&lt;&gt;"",U5&amp;"
","")&amp;IF(L5&lt;&gt;"","💰 月租 RM "&amp;TEXT(L5,"#,##0")&amp;"
","")&amp;"
请问还有空档吗？谢谢！","")</f>
        <v>您好！我想咨询出租：
🏠 Tiara ParkHome| Karjang
🛏 2房 2卫
📐 110 sqft
🔒 24小时保安 · CCTV监控 · 等级6门禁
💰 月租 RM 1,800
请问还有空档吗？谢谢！</v>
      </c>
      <c r="Z5" s="19" t="str">
        <f t="shared" ref="Z5:Z54" si="12">IF(D5&lt;&gt;"","Hi! I'd like to make a rental enquiry:
🏠 "&amp;P5&amp;"
"&amp;IF(E5&lt;&gt;"","🛏 "&amp;E5&amp;"BR"&amp;IF(F5&lt;&gt;""," "&amp;F5&amp;"BA","")&amp;"
","")&amp;IF(G5&lt;&gt;"","📐 "&amp;G5&amp;" sqft
","")&amp;IF(H5&lt;&gt;"","🏊 "&amp;SUBSTITUTE(SUBSTITUTE(SUBSTITUTE(SUBSTITUTE(SUBSTITUTE(SUBSTITUTE(SUBSTITUTE(SUBSTITUTE(SUBSTITUTE(SUBSTITUTE(H5,"游泳池","Swimming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","")&amp;IF(IF(OR(I5&lt;&gt;"",J5&lt;&gt;"",K5&lt;&gt;""),"🔒 "&amp;IF(I5&lt;&gt;"",SUBSTITUTE(SUBSTITUTE(SUBSTITUTE(SUBSTITUTE(SUBSTITUTE(SUBSTITUTE(SUBSTITUTE(SUBSTITUTE(SUBSTITUTE(SUBSTITUTE(SUBSTITUTE(SUBSTITUTE(I5,"24小时保安","24hr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Control"),"")&amp;IF(AND(I5&lt;&gt;"",OR(J5&lt;&gt;"",K5&lt;&gt;""))," · ","")&amp;IF(J5&lt;&gt;"",SUBSTITUTE(SUBSTITUTE(SUBSTITUTE(SUBSTITUTE(SUBSTITUTE(SUBSTITUTE(SUBSTITUTE(SUBSTITUTE(SUBSTITUTE(SUBSTITUTE(SUBSTITUTE(SUBSTITUTE(J5,"24小时保安","24hr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Control"),"")&amp;IF(AND(J5&lt;&gt;"",K5&lt;&gt;"")," · ","")&amp;IF(K5&lt;&gt;"",SUBSTITUTE(SUBSTITUTE(SUBSTITUTE(SUBSTITUTE(SUBSTITUTE(SUBSTITUTE(SUBSTITUTE(SUBSTITUTE(SUBSTITUTE(SUBSTITUTE(SUBSTITUTE(SUBSTITUTE(K5,"24小时保安","24hr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Control"),""),"")&lt;&gt;"",IF(OR(I5&lt;&gt;"",J5&lt;&gt;"",K5&lt;&gt;""),"🔒 "&amp;IF(I5&lt;&gt;"",SUBSTITUTE(SUBSTITUTE(SUBSTITUTE(SUBSTITUTE(SUBSTITUTE(SUBSTITUTE(SUBSTITUTE(SUBSTITUTE(SUBSTITUTE(SUBSTITUTE(SUBSTITUTE(SUBSTITUTE(I5,"24小时保安","24hr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Control"),"")&amp;IF(AND(I5&lt;&gt;"",OR(J5&lt;&gt;"",K5&lt;&gt;""))," · ","")&amp;IF(J5&lt;&gt;"",SUBSTITUTE(SUBSTITUTE(SUBSTITUTE(SUBSTITUTE(SUBSTITUTE(SUBSTITUTE(SUBSTITUTE(SUBSTITUTE(SUBSTITUTE(SUBSTITUTE(SUBSTITUTE(SUBSTITUTE(J5,"24小时保安","24hr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Control"),"")&amp;IF(AND(J5&lt;&gt;"",K5&lt;&gt;"")," · ","")&amp;IF(K5&lt;&gt;"",SUBSTITUTE(SUBSTITUTE(SUBSTITUTE(SUBSTITUTE(SUBSTITUTE(SUBSTITUTE(SUBSTITUTE(SUBSTITUTE(SUBSTITUTE(SUBSTITUTE(SUBSTITUTE(SUBSTITUTE(K5,"24小时保安","24hr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","")&amp;IF(L5&lt;&gt;"","💰 Monthly Rent RM "&amp;TEXT(L5,"#,##0")&amp;"
","")&amp;"
Is this still available? Thank you!","")</f>
        <v>Hi! I'd like to make a rental enquiry:
🏠 Tiara ParkHome| Karjang
🛏 2BR 2BA
📐 110 sqft
🔒 24hr Guard · CCTV · Lvl 6 Access
💰 Monthly Rent RM 1,800
Is this still available? Thank you!</v>
      </c>
      <c r="AA5" s="17"/>
      <c r="AB5" s="19" t="str">
        <f t="shared" ref="AB5:AB54" si="13">IF(D5&lt;&gt;"","Helo! Saya ingin membuat pertanyaan sewa:
🏠 "&amp;Q5&amp;"
"&amp;IF(E5&lt;&gt;"","🛏 "&amp;E5&amp;"Bilik"&amp;IF(F5&lt;&gt;""," "&amp;F5&amp;"Bilik Air","")&amp;"
","")&amp;IF(G5&lt;&gt;"","📐 "&amp;G5&amp;" sqft
","")&amp;IF(H5&lt;&gt;"","🏊 "&amp;SUBSTITUTE(SUBSTITUTE(SUBSTITUTE(SUBSTITUTE(SUBSTITUTE(SUBSTITUTE(SUBSTITUTE(SUBSTITUTE(SUBSTITUTE(SUBSTITUTE(H5,"游泳池","Kolam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","")&amp;IF(IF(OR(I5&lt;&gt;"",J5&lt;&gt;"",K5&lt;&gt;""),"🔒 "&amp;IF(I5&lt;&gt;"",SUBSTITUTE(SUBSTITUTE(SUBSTITUTE(SUBSTITUTE(SUBSTITUTE(SUBSTITUTE(SUBSTITUTE(SUBSTITUTE(SUBSTITUTE(SUBSTITUTE(SUBSTITUTE(SUBSTITUTE(I5,"24小时保安","Pengawal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Kawalan"),"")&amp;IF(AND(I5&lt;&gt;"",OR(J5&lt;&gt;"",K5&lt;&gt;""))," · ","")&amp;IF(J5&lt;&gt;"",SUBSTITUTE(SUBSTITUTE(SUBSTITUTE(SUBSTITUTE(SUBSTITUTE(SUBSTITUTE(SUBSTITUTE(SUBSTITUTE(SUBSTITUTE(SUBSTITUTE(SUBSTITUTE(SUBSTITUTE(J5,"24小时保安","Pengawal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Kawalan"),"")&amp;IF(AND(J5&lt;&gt;"",K5&lt;&gt;"")," · ","")&amp;IF(K5&lt;&gt;"",SUBSTITUTE(SUBSTITUTE(SUBSTITUTE(SUBSTITUTE(SUBSTITUTE(SUBSTITUTE(SUBSTITUTE(SUBSTITUTE(SUBSTITUTE(SUBSTITUTE(SUBSTITUTE(SUBSTITUTE(K5,"24小时保安","Pengawal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Kawalan"),""),"")&lt;&gt;"",IF(OR(I5&lt;&gt;"",J5&lt;&gt;"",K5&lt;&gt;""),"🔒 "&amp;IF(I5&lt;&gt;"",SUBSTITUTE(SUBSTITUTE(SUBSTITUTE(SUBSTITUTE(SUBSTITUTE(SUBSTITUTE(SUBSTITUTE(SUBSTITUTE(SUBSTITUTE(SUBSTITUTE(SUBSTITUTE(SUBSTITUTE(I5,"24小时保安","Pengawal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Kawalan"),"")&amp;IF(AND(I5&lt;&gt;"",OR(J5&lt;&gt;"",K5&lt;&gt;""))," · ","")&amp;IF(J5&lt;&gt;"",SUBSTITUTE(SUBSTITUTE(SUBSTITUTE(SUBSTITUTE(SUBSTITUTE(SUBSTITUTE(SUBSTITUTE(SUBSTITUTE(SUBSTITUTE(SUBSTITUTE(SUBSTITUTE(SUBSTITUTE(J5,"24小时保安","Pengawal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Kawalan"),"")&amp;IF(AND(J5&lt;&gt;"",K5&lt;&gt;"")," · ","")&amp;IF(K5&lt;&gt;"",SUBSTITUTE(SUBSTITUTE(SUBSTITUTE(SUBSTITUTE(SUBSTITUTE(SUBSTITUTE(SUBSTITUTE(SUBSTITUTE(SUBSTITUTE(SUBSTITUTE(SUBSTITUTE(SUBSTITUTE(K5,"24小时保安","Pengawal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","")&amp;IF(L5&lt;&gt;"","💰 Sewa Bulanan RM "&amp;TEXT(L5,"#,##0")&amp;"
","")&amp;"
Adakah masih tersedia? Terima kasih!","")</f>
        <v>Helo! Saya ingin membuat pertanyaan sewa:
🏠 Tiara ParkHome| Karjang
🛏 2Bilik 2Bilik Air
📐 110 sqft
🔒 Pengawal 24j · CCTV · Akses Thn 6
💰 Sewa Bulanan RM 1,800
Adakah masih tersedia? Terima kasih!</v>
      </c>
    </row>
    <row r="6" ht="51.75" customHeight="1" spans="1:28">
      <c r="A6" s="14"/>
      <c r="B6" s="14"/>
      <c r="C6" s="14"/>
      <c r="D6" s="14"/>
      <c r="E6" s="14"/>
      <c r="F6" s="14"/>
      <c r="G6" s="14"/>
      <c r="H6" s="14"/>
      <c r="I6" s="15"/>
      <c r="J6" s="15"/>
      <c r="K6" s="15"/>
      <c r="L6" s="14"/>
      <c r="M6" s="16"/>
      <c r="N6" s="17" t="str">
        <f t="shared" si="0"/>
        <v>fa-home</v>
      </c>
      <c r="O6" s="17" t="str">
        <f t="shared" si="1"/>
        <v/>
      </c>
      <c r="P6" s="17" t="str">
        <f t="shared" si="2"/>
        <v/>
      </c>
      <c r="Q6" s="17" t="str">
        <f t="shared" si="3"/>
        <v/>
      </c>
      <c r="R6" s="17" t="str">
        <f t="shared" si="4"/>
        <v/>
      </c>
      <c r="S6" s="17" t="str">
        <f t="shared" si="5"/>
        <v/>
      </c>
      <c r="T6" s="17" t="str">
        <f t="shared" si="6"/>
        <v/>
      </c>
      <c r="U6" s="18" t="str">
        <f t="shared" si="7"/>
        <v/>
      </c>
      <c r="V6" s="17" t="str">
        <f t="shared" si="8"/>
        <v/>
      </c>
      <c r="W6" s="17" t="str">
        <f t="shared" si="9"/>
        <v/>
      </c>
      <c r="X6" s="17" t="str">
        <f t="shared" si="10"/>
        <v/>
      </c>
      <c r="Y6" s="19" t="str">
        <f t="shared" si="11"/>
        <v/>
      </c>
      <c r="Z6" s="19" t="str">
        <f t="shared" si="12"/>
        <v/>
      </c>
      <c r="AA6" s="17"/>
      <c r="AB6" s="19" t="str">
        <f t="shared" si="13"/>
        <v/>
      </c>
    </row>
    <row r="7" ht="51.75" customHeight="1" spans="1:28">
      <c r="A7" s="14"/>
      <c r="B7" s="14"/>
      <c r="C7" s="14"/>
      <c r="D7" s="14"/>
      <c r="E7" s="14"/>
      <c r="F7" s="14"/>
      <c r="G7" s="14"/>
      <c r="H7" s="14"/>
      <c r="I7" s="15"/>
      <c r="J7" s="15"/>
      <c r="K7" s="15"/>
      <c r="L7" s="14"/>
      <c r="M7" s="16"/>
      <c r="N7" s="17" t="str">
        <f t="shared" si="0"/>
        <v>fa-home</v>
      </c>
      <c r="O7" s="17" t="str">
        <f t="shared" si="1"/>
        <v/>
      </c>
      <c r="P7" s="17" t="str">
        <f t="shared" si="2"/>
        <v/>
      </c>
      <c r="Q7" s="17" t="str">
        <f t="shared" si="3"/>
        <v/>
      </c>
      <c r="R7" s="17" t="str">
        <f t="shared" si="4"/>
        <v/>
      </c>
      <c r="S7" s="17" t="str">
        <f t="shared" si="5"/>
        <v/>
      </c>
      <c r="T7" s="17" t="str">
        <f t="shared" si="6"/>
        <v/>
      </c>
      <c r="U7" s="18" t="str">
        <f t="shared" si="7"/>
        <v/>
      </c>
      <c r="V7" s="17" t="str">
        <f t="shared" si="8"/>
        <v/>
      </c>
      <c r="W7" s="17" t="str">
        <f t="shared" si="9"/>
        <v/>
      </c>
      <c r="X7" s="17" t="str">
        <f t="shared" si="10"/>
        <v/>
      </c>
      <c r="Y7" s="19" t="str">
        <f t="shared" si="11"/>
        <v/>
      </c>
      <c r="Z7" s="19" t="str">
        <f t="shared" si="12"/>
        <v/>
      </c>
      <c r="AA7" s="17"/>
      <c r="AB7" s="19" t="str">
        <f t="shared" si="13"/>
        <v/>
      </c>
    </row>
    <row r="8" ht="51.75" customHeight="1" spans="1:28">
      <c r="A8" s="14"/>
      <c r="B8" s="14"/>
      <c r="C8" s="14"/>
      <c r="D8" s="14"/>
      <c r="E8" s="14"/>
      <c r="F8" s="14"/>
      <c r="G8" s="14"/>
      <c r="H8" s="14"/>
      <c r="I8" s="15"/>
      <c r="J8" s="15"/>
      <c r="K8" s="15"/>
      <c r="L8" s="14"/>
      <c r="M8" s="16"/>
      <c r="N8" s="17" t="str">
        <f t="shared" si="0"/>
        <v>fa-home</v>
      </c>
      <c r="O8" s="17" t="str">
        <f t="shared" si="1"/>
        <v/>
      </c>
      <c r="P8" s="17" t="str">
        <f t="shared" si="2"/>
        <v/>
      </c>
      <c r="Q8" s="17" t="str">
        <f t="shared" si="3"/>
        <v/>
      </c>
      <c r="R8" s="17" t="str">
        <f t="shared" si="4"/>
        <v/>
      </c>
      <c r="S8" s="17" t="str">
        <f t="shared" si="5"/>
        <v/>
      </c>
      <c r="T8" s="17" t="str">
        <f t="shared" si="6"/>
        <v/>
      </c>
      <c r="U8" s="18" t="str">
        <f t="shared" si="7"/>
        <v/>
      </c>
      <c r="V8" s="17" t="str">
        <f t="shared" si="8"/>
        <v/>
      </c>
      <c r="W8" s="17" t="str">
        <f t="shared" si="9"/>
        <v/>
      </c>
      <c r="X8" s="17" t="str">
        <f t="shared" si="10"/>
        <v/>
      </c>
      <c r="Y8" s="19" t="str">
        <f t="shared" si="11"/>
        <v/>
      </c>
      <c r="Z8" s="19" t="str">
        <f t="shared" si="12"/>
        <v/>
      </c>
      <c r="AA8" s="17"/>
      <c r="AB8" s="19" t="str">
        <f t="shared" si="13"/>
        <v/>
      </c>
    </row>
    <row r="9" ht="51.75" customHeight="1" spans="1:28">
      <c r="A9" s="14"/>
      <c r="B9" s="14"/>
      <c r="C9" s="14"/>
      <c r="D9" s="14"/>
      <c r="E9" s="14"/>
      <c r="F9" s="14"/>
      <c r="G9" s="14"/>
      <c r="H9" s="14"/>
      <c r="I9" s="15"/>
      <c r="J9" s="15"/>
      <c r="K9" s="15"/>
      <c r="L9" s="14"/>
      <c r="M9" s="16"/>
      <c r="N9" s="17" t="str">
        <f t="shared" si="0"/>
        <v>fa-home</v>
      </c>
      <c r="O9" s="17" t="str">
        <f t="shared" si="1"/>
        <v/>
      </c>
      <c r="P9" s="17" t="str">
        <f t="shared" si="2"/>
        <v/>
      </c>
      <c r="Q9" s="17" t="str">
        <f t="shared" si="3"/>
        <v/>
      </c>
      <c r="R9" s="17" t="str">
        <f t="shared" si="4"/>
        <v/>
      </c>
      <c r="S9" s="17" t="str">
        <f t="shared" si="5"/>
        <v/>
      </c>
      <c r="T9" s="17" t="str">
        <f t="shared" si="6"/>
        <v/>
      </c>
      <c r="U9" s="18" t="str">
        <f t="shared" si="7"/>
        <v/>
      </c>
      <c r="V9" s="17" t="str">
        <f t="shared" si="8"/>
        <v/>
      </c>
      <c r="W9" s="17" t="str">
        <f t="shared" si="9"/>
        <v/>
      </c>
      <c r="X9" s="17" t="str">
        <f t="shared" si="10"/>
        <v/>
      </c>
      <c r="Y9" s="19" t="str">
        <f t="shared" si="11"/>
        <v/>
      </c>
      <c r="Z9" s="19" t="str">
        <f t="shared" si="12"/>
        <v/>
      </c>
      <c r="AA9" s="17"/>
      <c r="AB9" s="19" t="str">
        <f t="shared" si="13"/>
        <v/>
      </c>
    </row>
    <row r="10" ht="51.75" customHeight="1" spans="1:28">
      <c r="A10" s="14"/>
      <c r="B10" s="14"/>
      <c r="C10" s="14"/>
      <c r="D10" s="14"/>
      <c r="E10" s="14"/>
      <c r="F10" s="14"/>
      <c r="G10" s="14"/>
      <c r="H10" s="14"/>
      <c r="I10" s="15"/>
      <c r="J10" s="15"/>
      <c r="K10" s="15"/>
      <c r="L10" s="14"/>
      <c r="M10" s="16"/>
      <c r="N10" s="17" t="str">
        <f t="shared" si="0"/>
        <v>fa-home</v>
      </c>
      <c r="O10" s="17" t="str">
        <f t="shared" si="1"/>
        <v/>
      </c>
      <c r="P10" s="17" t="str">
        <f t="shared" si="2"/>
        <v/>
      </c>
      <c r="Q10" s="17" t="str">
        <f t="shared" si="3"/>
        <v/>
      </c>
      <c r="R10" s="17" t="str">
        <f t="shared" si="4"/>
        <v/>
      </c>
      <c r="S10" s="17" t="str">
        <f t="shared" si="5"/>
        <v/>
      </c>
      <c r="T10" s="17" t="str">
        <f t="shared" si="6"/>
        <v/>
      </c>
      <c r="U10" s="18" t="str">
        <f t="shared" si="7"/>
        <v/>
      </c>
      <c r="V10" s="17" t="str">
        <f t="shared" si="8"/>
        <v/>
      </c>
      <c r="W10" s="17" t="str">
        <f t="shared" si="9"/>
        <v/>
      </c>
      <c r="X10" s="17" t="str">
        <f t="shared" si="10"/>
        <v/>
      </c>
      <c r="Y10" s="19" t="str">
        <f t="shared" si="11"/>
        <v/>
      </c>
      <c r="Z10" s="19" t="str">
        <f t="shared" si="12"/>
        <v/>
      </c>
      <c r="AA10" s="17"/>
      <c r="AB10" s="19" t="str">
        <f t="shared" si="13"/>
        <v/>
      </c>
    </row>
    <row r="11" ht="51.75" customHeight="1" spans="1:28">
      <c r="A11" s="14"/>
      <c r="B11" s="14"/>
      <c r="C11" s="14"/>
      <c r="D11" s="14"/>
      <c r="E11" s="14"/>
      <c r="F11" s="14"/>
      <c r="G11" s="14"/>
      <c r="H11" s="14"/>
      <c r="I11" s="15"/>
      <c r="J11" s="15"/>
      <c r="K11" s="15"/>
      <c r="L11" s="14"/>
      <c r="M11" s="16"/>
      <c r="N11" s="17" t="str">
        <f t="shared" si="0"/>
        <v>fa-home</v>
      </c>
      <c r="O11" s="17" t="str">
        <f t="shared" si="1"/>
        <v/>
      </c>
      <c r="P11" s="17" t="str">
        <f t="shared" si="2"/>
        <v/>
      </c>
      <c r="Q11" s="17" t="str">
        <f t="shared" si="3"/>
        <v/>
      </c>
      <c r="R11" s="17" t="str">
        <f t="shared" si="4"/>
        <v/>
      </c>
      <c r="S11" s="17" t="str">
        <f t="shared" si="5"/>
        <v/>
      </c>
      <c r="T11" s="17" t="str">
        <f t="shared" si="6"/>
        <v/>
      </c>
      <c r="U11" s="18" t="str">
        <f t="shared" si="7"/>
        <v/>
      </c>
      <c r="V11" s="17" t="str">
        <f t="shared" si="8"/>
        <v/>
      </c>
      <c r="W11" s="17" t="str">
        <f t="shared" si="9"/>
        <v/>
      </c>
      <c r="X11" s="17" t="str">
        <f t="shared" si="10"/>
        <v/>
      </c>
      <c r="Y11" s="19" t="str">
        <f t="shared" si="11"/>
        <v/>
      </c>
      <c r="Z11" s="19" t="str">
        <f t="shared" si="12"/>
        <v/>
      </c>
      <c r="AA11" s="17"/>
      <c r="AB11" s="19" t="str">
        <f t="shared" si="13"/>
        <v/>
      </c>
    </row>
    <row r="12" ht="51.75" customHeight="1" spans="1:28">
      <c r="A12" s="14"/>
      <c r="B12" s="14"/>
      <c r="C12" s="14"/>
      <c r="D12" s="14"/>
      <c r="E12" s="14"/>
      <c r="F12" s="14"/>
      <c r="G12" s="14"/>
      <c r="H12" s="14"/>
      <c r="I12" s="15"/>
      <c r="J12" s="15"/>
      <c r="K12" s="15"/>
      <c r="L12" s="14"/>
      <c r="M12" s="16"/>
      <c r="N12" s="17" t="str">
        <f t="shared" si="0"/>
        <v>fa-home</v>
      </c>
      <c r="O12" s="17" t="str">
        <f t="shared" si="1"/>
        <v/>
      </c>
      <c r="P12" s="17" t="str">
        <f t="shared" si="2"/>
        <v/>
      </c>
      <c r="Q12" s="17" t="str">
        <f t="shared" si="3"/>
        <v/>
      </c>
      <c r="R12" s="17" t="str">
        <f t="shared" si="4"/>
        <v/>
      </c>
      <c r="S12" s="17" t="str">
        <f t="shared" si="5"/>
        <v/>
      </c>
      <c r="T12" s="17" t="str">
        <f t="shared" si="6"/>
        <v/>
      </c>
      <c r="U12" s="18" t="str">
        <f t="shared" si="7"/>
        <v/>
      </c>
      <c r="V12" s="17" t="str">
        <f t="shared" si="8"/>
        <v/>
      </c>
      <c r="W12" s="17" t="str">
        <f t="shared" si="9"/>
        <v/>
      </c>
      <c r="X12" s="17" t="str">
        <f t="shared" si="10"/>
        <v/>
      </c>
      <c r="Y12" s="19" t="str">
        <f t="shared" si="11"/>
        <v/>
      </c>
      <c r="Z12" s="19" t="str">
        <f t="shared" si="12"/>
        <v/>
      </c>
      <c r="AA12" s="17"/>
      <c r="AB12" s="19" t="str">
        <f t="shared" si="13"/>
        <v/>
      </c>
    </row>
    <row r="13" ht="51.75" customHeight="1" spans="1:28">
      <c r="A13" s="14"/>
      <c r="B13" s="14"/>
      <c r="C13" s="14"/>
      <c r="D13" s="14"/>
      <c r="E13" s="14"/>
      <c r="F13" s="14"/>
      <c r="G13" s="14"/>
      <c r="H13" s="14"/>
      <c r="I13" s="15"/>
      <c r="J13" s="15"/>
      <c r="K13" s="15"/>
      <c r="L13" s="14"/>
      <c r="M13" s="16"/>
      <c r="N13" s="17" t="str">
        <f t="shared" si="0"/>
        <v>fa-home</v>
      </c>
      <c r="O13" s="17" t="str">
        <f t="shared" si="1"/>
        <v/>
      </c>
      <c r="P13" s="17" t="str">
        <f t="shared" si="2"/>
        <v/>
      </c>
      <c r="Q13" s="17" t="str">
        <f t="shared" si="3"/>
        <v/>
      </c>
      <c r="R13" s="17" t="str">
        <f t="shared" si="4"/>
        <v/>
      </c>
      <c r="S13" s="17" t="str">
        <f t="shared" si="5"/>
        <v/>
      </c>
      <c r="T13" s="17" t="str">
        <f t="shared" si="6"/>
        <v/>
      </c>
      <c r="U13" s="18" t="str">
        <f t="shared" si="7"/>
        <v/>
      </c>
      <c r="V13" s="17" t="str">
        <f t="shared" si="8"/>
        <v/>
      </c>
      <c r="W13" s="17" t="str">
        <f t="shared" si="9"/>
        <v/>
      </c>
      <c r="X13" s="17" t="str">
        <f t="shared" si="10"/>
        <v/>
      </c>
      <c r="Y13" s="19" t="str">
        <f t="shared" si="11"/>
        <v/>
      </c>
      <c r="Z13" s="19" t="str">
        <f t="shared" si="12"/>
        <v/>
      </c>
      <c r="AA13" s="17"/>
      <c r="AB13" s="19" t="str">
        <f t="shared" si="13"/>
        <v/>
      </c>
    </row>
    <row r="14" ht="51.75" customHeight="1" spans="1:28">
      <c r="A14" s="14"/>
      <c r="B14" s="14"/>
      <c r="C14" s="14"/>
      <c r="D14" s="14"/>
      <c r="E14" s="14"/>
      <c r="F14" s="14"/>
      <c r="G14" s="14"/>
      <c r="H14" s="14"/>
      <c r="I14" s="15"/>
      <c r="J14" s="15"/>
      <c r="K14" s="15"/>
      <c r="L14" s="14"/>
      <c r="M14" s="16"/>
      <c r="N14" s="17" t="str">
        <f t="shared" si="0"/>
        <v>fa-home</v>
      </c>
      <c r="O14" s="17" t="str">
        <f t="shared" si="1"/>
        <v/>
      </c>
      <c r="P14" s="17" t="str">
        <f t="shared" si="2"/>
        <v/>
      </c>
      <c r="Q14" s="17" t="str">
        <f t="shared" si="3"/>
        <v/>
      </c>
      <c r="R14" s="17" t="str">
        <f t="shared" si="4"/>
        <v/>
      </c>
      <c r="S14" s="17" t="str">
        <f t="shared" si="5"/>
        <v/>
      </c>
      <c r="T14" s="17" t="str">
        <f t="shared" si="6"/>
        <v/>
      </c>
      <c r="U14" s="18" t="str">
        <f t="shared" si="7"/>
        <v/>
      </c>
      <c r="V14" s="17" t="str">
        <f t="shared" si="8"/>
        <v/>
      </c>
      <c r="W14" s="17" t="str">
        <f t="shared" si="9"/>
        <v/>
      </c>
      <c r="X14" s="17" t="str">
        <f t="shared" si="10"/>
        <v/>
      </c>
      <c r="Y14" s="19" t="str">
        <f t="shared" si="11"/>
        <v/>
      </c>
      <c r="Z14" s="19" t="str">
        <f t="shared" si="12"/>
        <v/>
      </c>
      <c r="AA14" s="17"/>
      <c r="AB14" s="19" t="str">
        <f t="shared" si="13"/>
        <v/>
      </c>
    </row>
    <row r="15" ht="51.75" customHeight="1" spans="1:28">
      <c r="A15" s="14"/>
      <c r="B15" s="14"/>
      <c r="C15" s="14"/>
      <c r="D15" s="14"/>
      <c r="E15" s="14"/>
      <c r="F15" s="14"/>
      <c r="G15" s="14"/>
      <c r="H15" s="14"/>
      <c r="I15" s="15"/>
      <c r="J15" s="15"/>
      <c r="K15" s="15"/>
      <c r="L15" s="14"/>
      <c r="M15" s="16"/>
      <c r="N15" s="17" t="str">
        <f t="shared" si="0"/>
        <v>fa-home</v>
      </c>
      <c r="O15" s="17" t="str">
        <f t="shared" si="1"/>
        <v/>
      </c>
      <c r="P15" s="17" t="str">
        <f t="shared" si="2"/>
        <v/>
      </c>
      <c r="Q15" s="17" t="str">
        <f t="shared" si="3"/>
        <v/>
      </c>
      <c r="R15" s="17" t="str">
        <f t="shared" si="4"/>
        <v/>
      </c>
      <c r="S15" s="17" t="str">
        <f t="shared" si="5"/>
        <v/>
      </c>
      <c r="T15" s="17" t="str">
        <f t="shared" si="6"/>
        <v/>
      </c>
      <c r="U15" s="18" t="str">
        <f t="shared" si="7"/>
        <v/>
      </c>
      <c r="V15" s="17" t="str">
        <f t="shared" si="8"/>
        <v/>
      </c>
      <c r="W15" s="17" t="str">
        <f t="shared" si="9"/>
        <v/>
      </c>
      <c r="X15" s="17" t="str">
        <f t="shared" si="10"/>
        <v/>
      </c>
      <c r="Y15" s="19" t="str">
        <f t="shared" si="11"/>
        <v/>
      </c>
      <c r="Z15" s="19" t="str">
        <f t="shared" si="12"/>
        <v/>
      </c>
      <c r="AA15" s="17"/>
      <c r="AB15" s="19" t="str">
        <f t="shared" si="13"/>
        <v/>
      </c>
    </row>
    <row r="16" ht="51.75" customHeight="1" spans="1:28">
      <c r="A16" s="14"/>
      <c r="B16" s="14"/>
      <c r="C16" s="14"/>
      <c r="D16" s="14"/>
      <c r="E16" s="14"/>
      <c r="F16" s="14"/>
      <c r="G16" s="14"/>
      <c r="H16" s="14"/>
      <c r="I16" s="15"/>
      <c r="J16" s="15"/>
      <c r="K16" s="15"/>
      <c r="L16" s="14"/>
      <c r="M16" s="16"/>
      <c r="N16" s="17" t="str">
        <f t="shared" si="0"/>
        <v>fa-home</v>
      </c>
      <c r="O16" s="17" t="str">
        <f t="shared" si="1"/>
        <v/>
      </c>
      <c r="P16" s="17" t="str">
        <f t="shared" si="2"/>
        <v/>
      </c>
      <c r="Q16" s="17" t="str">
        <f t="shared" si="3"/>
        <v/>
      </c>
      <c r="R16" s="17" t="str">
        <f t="shared" si="4"/>
        <v/>
      </c>
      <c r="S16" s="17" t="str">
        <f t="shared" si="5"/>
        <v/>
      </c>
      <c r="T16" s="17" t="str">
        <f t="shared" si="6"/>
        <v/>
      </c>
      <c r="U16" s="18" t="str">
        <f t="shared" si="7"/>
        <v/>
      </c>
      <c r="V16" s="17" t="str">
        <f t="shared" si="8"/>
        <v/>
      </c>
      <c r="W16" s="17" t="str">
        <f t="shared" si="9"/>
        <v/>
      </c>
      <c r="X16" s="17" t="str">
        <f t="shared" si="10"/>
        <v/>
      </c>
      <c r="Y16" s="19" t="str">
        <f t="shared" si="11"/>
        <v/>
      </c>
      <c r="Z16" s="19" t="str">
        <f t="shared" si="12"/>
        <v/>
      </c>
      <c r="AA16" s="17"/>
      <c r="AB16" s="19" t="str">
        <f t="shared" si="13"/>
        <v/>
      </c>
    </row>
    <row r="17" ht="51.75" customHeight="1" spans="1:28">
      <c r="A17" s="14"/>
      <c r="B17" s="14"/>
      <c r="C17" s="14"/>
      <c r="D17" s="14"/>
      <c r="E17" s="14"/>
      <c r="F17" s="14"/>
      <c r="G17" s="14"/>
      <c r="H17" s="14"/>
      <c r="I17" s="15"/>
      <c r="J17" s="15"/>
      <c r="K17" s="15"/>
      <c r="L17" s="14"/>
      <c r="M17" s="16"/>
      <c r="N17" s="17" t="str">
        <f t="shared" si="0"/>
        <v>fa-home</v>
      </c>
      <c r="O17" s="17" t="str">
        <f t="shared" si="1"/>
        <v/>
      </c>
      <c r="P17" s="17" t="str">
        <f t="shared" si="2"/>
        <v/>
      </c>
      <c r="Q17" s="17" t="str">
        <f t="shared" si="3"/>
        <v/>
      </c>
      <c r="R17" s="17" t="str">
        <f t="shared" si="4"/>
        <v/>
      </c>
      <c r="S17" s="17" t="str">
        <f t="shared" si="5"/>
        <v/>
      </c>
      <c r="T17" s="17" t="str">
        <f t="shared" si="6"/>
        <v/>
      </c>
      <c r="U17" s="18" t="str">
        <f t="shared" si="7"/>
        <v/>
      </c>
      <c r="V17" s="17" t="str">
        <f t="shared" si="8"/>
        <v/>
      </c>
      <c r="W17" s="17" t="str">
        <f t="shared" si="9"/>
        <v/>
      </c>
      <c r="X17" s="17" t="str">
        <f t="shared" si="10"/>
        <v/>
      </c>
      <c r="Y17" s="19" t="str">
        <f t="shared" si="11"/>
        <v/>
      </c>
      <c r="Z17" s="19" t="str">
        <f t="shared" si="12"/>
        <v/>
      </c>
      <c r="AA17" s="17"/>
      <c r="AB17" s="19" t="str">
        <f t="shared" si="13"/>
        <v/>
      </c>
    </row>
    <row r="18" ht="51.75" customHeight="1" spans="1:28">
      <c r="A18" s="14"/>
      <c r="B18" s="14"/>
      <c r="C18" s="14"/>
      <c r="D18" s="14"/>
      <c r="E18" s="14"/>
      <c r="F18" s="14"/>
      <c r="G18" s="14"/>
      <c r="H18" s="14"/>
      <c r="I18" s="15"/>
      <c r="J18" s="15"/>
      <c r="K18" s="15"/>
      <c r="L18" s="14"/>
      <c r="M18" s="16"/>
      <c r="N18" s="17" t="str">
        <f t="shared" si="0"/>
        <v>fa-home</v>
      </c>
      <c r="O18" s="17" t="str">
        <f t="shared" si="1"/>
        <v/>
      </c>
      <c r="P18" s="17" t="str">
        <f t="shared" si="2"/>
        <v/>
      </c>
      <c r="Q18" s="17" t="str">
        <f t="shared" si="3"/>
        <v/>
      </c>
      <c r="R18" s="17" t="str">
        <f t="shared" si="4"/>
        <v/>
      </c>
      <c r="S18" s="17" t="str">
        <f t="shared" si="5"/>
        <v/>
      </c>
      <c r="T18" s="17" t="str">
        <f t="shared" si="6"/>
        <v/>
      </c>
      <c r="U18" s="18" t="str">
        <f t="shared" si="7"/>
        <v/>
      </c>
      <c r="V18" s="17" t="str">
        <f t="shared" si="8"/>
        <v/>
      </c>
      <c r="W18" s="17" t="str">
        <f t="shared" si="9"/>
        <v/>
      </c>
      <c r="X18" s="17" t="str">
        <f t="shared" si="10"/>
        <v/>
      </c>
      <c r="Y18" s="19" t="str">
        <f t="shared" si="11"/>
        <v/>
      </c>
      <c r="Z18" s="19" t="str">
        <f t="shared" si="12"/>
        <v/>
      </c>
      <c r="AA18" s="17"/>
      <c r="AB18" s="19" t="str">
        <f t="shared" si="13"/>
        <v/>
      </c>
    </row>
    <row r="19" ht="51.75" customHeight="1" spans="1:28">
      <c r="A19" s="14"/>
      <c r="B19" s="14"/>
      <c r="C19" s="14"/>
      <c r="D19" s="14"/>
      <c r="E19" s="14"/>
      <c r="F19" s="14"/>
      <c r="G19" s="14"/>
      <c r="H19" s="14"/>
      <c r="I19" s="15"/>
      <c r="J19" s="15"/>
      <c r="K19" s="15"/>
      <c r="L19" s="14"/>
      <c r="M19" s="16"/>
      <c r="N19" s="17" t="str">
        <f t="shared" si="0"/>
        <v>fa-home</v>
      </c>
      <c r="O19" s="17" t="str">
        <f t="shared" si="1"/>
        <v/>
      </c>
      <c r="P19" s="17" t="str">
        <f t="shared" si="2"/>
        <v/>
      </c>
      <c r="Q19" s="17" t="str">
        <f t="shared" si="3"/>
        <v/>
      </c>
      <c r="R19" s="17" t="str">
        <f t="shared" si="4"/>
        <v/>
      </c>
      <c r="S19" s="17" t="str">
        <f t="shared" si="5"/>
        <v/>
      </c>
      <c r="T19" s="17" t="str">
        <f t="shared" si="6"/>
        <v/>
      </c>
      <c r="U19" s="18" t="str">
        <f t="shared" si="7"/>
        <v/>
      </c>
      <c r="V19" s="17" t="str">
        <f t="shared" si="8"/>
        <v/>
      </c>
      <c r="W19" s="17" t="str">
        <f t="shared" si="9"/>
        <v/>
      </c>
      <c r="X19" s="17" t="str">
        <f t="shared" si="10"/>
        <v/>
      </c>
      <c r="Y19" s="19" t="str">
        <f t="shared" si="11"/>
        <v/>
      </c>
      <c r="Z19" s="19" t="str">
        <f t="shared" si="12"/>
        <v/>
      </c>
      <c r="AA19" s="17"/>
      <c r="AB19" s="19" t="str">
        <f t="shared" si="13"/>
        <v/>
      </c>
    </row>
    <row r="20" ht="51.75" customHeight="1" spans="1:28">
      <c r="A20" s="14"/>
      <c r="B20" s="14"/>
      <c r="C20" s="14"/>
      <c r="D20" s="14"/>
      <c r="E20" s="14"/>
      <c r="F20" s="14"/>
      <c r="G20" s="14"/>
      <c r="H20" s="14"/>
      <c r="I20" s="15"/>
      <c r="J20" s="15"/>
      <c r="K20" s="15"/>
      <c r="L20" s="14"/>
      <c r="M20" s="16"/>
      <c r="N20" s="17" t="str">
        <f t="shared" si="0"/>
        <v>fa-home</v>
      </c>
      <c r="O20" s="17" t="str">
        <f t="shared" si="1"/>
        <v/>
      </c>
      <c r="P20" s="17" t="str">
        <f t="shared" si="2"/>
        <v/>
      </c>
      <c r="Q20" s="17" t="str">
        <f t="shared" si="3"/>
        <v/>
      </c>
      <c r="R20" s="17" t="str">
        <f t="shared" si="4"/>
        <v/>
      </c>
      <c r="S20" s="17" t="str">
        <f t="shared" si="5"/>
        <v/>
      </c>
      <c r="T20" s="17" t="str">
        <f t="shared" si="6"/>
        <v/>
      </c>
      <c r="U20" s="18" t="str">
        <f t="shared" si="7"/>
        <v/>
      </c>
      <c r="V20" s="17" t="str">
        <f t="shared" si="8"/>
        <v/>
      </c>
      <c r="W20" s="17" t="str">
        <f t="shared" si="9"/>
        <v/>
      </c>
      <c r="X20" s="17" t="str">
        <f t="shared" si="10"/>
        <v/>
      </c>
      <c r="Y20" s="19" t="str">
        <f t="shared" si="11"/>
        <v/>
      </c>
      <c r="Z20" s="19" t="str">
        <f t="shared" si="12"/>
        <v/>
      </c>
      <c r="AA20" s="17"/>
      <c r="AB20" s="19" t="str">
        <f t="shared" si="13"/>
        <v/>
      </c>
    </row>
    <row r="21" ht="51.75" customHeight="1" spans="1:28">
      <c r="A21" s="14"/>
      <c r="B21" s="14"/>
      <c r="C21" s="14"/>
      <c r="D21" s="14"/>
      <c r="E21" s="14"/>
      <c r="F21" s="14"/>
      <c r="G21" s="14"/>
      <c r="H21" s="14"/>
      <c r="I21" s="15"/>
      <c r="J21" s="15"/>
      <c r="K21" s="15"/>
      <c r="L21" s="14"/>
      <c r="M21" s="16"/>
      <c r="N21" s="17" t="str">
        <f t="shared" si="0"/>
        <v>fa-home</v>
      </c>
      <c r="O21" s="17" t="str">
        <f t="shared" si="1"/>
        <v/>
      </c>
      <c r="P21" s="17" t="str">
        <f t="shared" si="2"/>
        <v/>
      </c>
      <c r="Q21" s="17" t="str">
        <f t="shared" si="3"/>
        <v/>
      </c>
      <c r="R21" s="17" t="str">
        <f t="shared" si="4"/>
        <v/>
      </c>
      <c r="S21" s="17" t="str">
        <f t="shared" si="5"/>
        <v/>
      </c>
      <c r="T21" s="17" t="str">
        <f t="shared" si="6"/>
        <v/>
      </c>
      <c r="U21" s="18" t="str">
        <f t="shared" si="7"/>
        <v/>
      </c>
      <c r="V21" s="17" t="str">
        <f t="shared" si="8"/>
        <v/>
      </c>
      <c r="W21" s="17" t="str">
        <f t="shared" si="9"/>
        <v/>
      </c>
      <c r="X21" s="17" t="str">
        <f t="shared" si="10"/>
        <v/>
      </c>
      <c r="Y21" s="19" t="str">
        <f t="shared" si="11"/>
        <v/>
      </c>
      <c r="Z21" s="19" t="str">
        <f t="shared" si="12"/>
        <v/>
      </c>
      <c r="AA21" s="17"/>
      <c r="AB21" s="19" t="str">
        <f t="shared" si="13"/>
        <v/>
      </c>
    </row>
    <row r="22" ht="51.75" customHeight="1" spans="1:28">
      <c r="A22" s="14"/>
      <c r="B22" s="14"/>
      <c r="C22" s="14"/>
      <c r="D22" s="14"/>
      <c r="E22" s="14"/>
      <c r="F22" s="14"/>
      <c r="G22" s="14"/>
      <c r="H22" s="14"/>
      <c r="I22" s="15"/>
      <c r="J22" s="15"/>
      <c r="K22" s="15"/>
      <c r="L22" s="14"/>
      <c r="M22" s="16"/>
      <c r="N22" s="17" t="str">
        <f t="shared" si="0"/>
        <v>fa-home</v>
      </c>
      <c r="O22" s="17" t="str">
        <f t="shared" si="1"/>
        <v/>
      </c>
      <c r="P22" s="17" t="str">
        <f t="shared" si="2"/>
        <v/>
      </c>
      <c r="Q22" s="17" t="str">
        <f t="shared" si="3"/>
        <v/>
      </c>
      <c r="R22" s="17" t="str">
        <f t="shared" si="4"/>
        <v/>
      </c>
      <c r="S22" s="17" t="str">
        <f t="shared" si="5"/>
        <v/>
      </c>
      <c r="T22" s="17" t="str">
        <f t="shared" si="6"/>
        <v/>
      </c>
      <c r="U22" s="18" t="str">
        <f t="shared" si="7"/>
        <v/>
      </c>
      <c r="V22" s="17" t="str">
        <f t="shared" si="8"/>
        <v/>
      </c>
      <c r="W22" s="17" t="str">
        <f t="shared" si="9"/>
        <v/>
      </c>
      <c r="X22" s="17" t="str">
        <f t="shared" si="10"/>
        <v/>
      </c>
      <c r="Y22" s="19" t="str">
        <f t="shared" si="11"/>
        <v/>
      </c>
      <c r="Z22" s="19" t="str">
        <f t="shared" si="12"/>
        <v/>
      </c>
      <c r="AA22" s="17"/>
      <c r="AB22" s="19" t="str">
        <f t="shared" si="13"/>
        <v/>
      </c>
    </row>
    <row r="23" ht="51.75" customHeight="1" spans="1:28">
      <c r="A23" s="14"/>
      <c r="B23" s="14"/>
      <c r="C23" s="14"/>
      <c r="D23" s="14"/>
      <c r="E23" s="14"/>
      <c r="F23" s="14"/>
      <c r="G23" s="14"/>
      <c r="H23" s="14"/>
      <c r="I23" s="15"/>
      <c r="J23" s="15"/>
      <c r="K23" s="15"/>
      <c r="L23" s="14"/>
      <c r="M23" s="16"/>
      <c r="N23" s="17" t="str">
        <f t="shared" si="0"/>
        <v>fa-home</v>
      </c>
      <c r="O23" s="17" t="str">
        <f t="shared" si="1"/>
        <v/>
      </c>
      <c r="P23" s="17" t="str">
        <f t="shared" si="2"/>
        <v/>
      </c>
      <c r="Q23" s="17" t="str">
        <f t="shared" si="3"/>
        <v/>
      </c>
      <c r="R23" s="17" t="str">
        <f t="shared" si="4"/>
        <v/>
      </c>
      <c r="S23" s="17" t="str">
        <f t="shared" si="5"/>
        <v/>
      </c>
      <c r="T23" s="17" t="str">
        <f t="shared" si="6"/>
        <v/>
      </c>
      <c r="U23" s="18" t="str">
        <f t="shared" si="7"/>
        <v/>
      </c>
      <c r="V23" s="17" t="str">
        <f t="shared" si="8"/>
        <v/>
      </c>
      <c r="W23" s="17" t="str">
        <f t="shared" si="9"/>
        <v/>
      </c>
      <c r="X23" s="17" t="str">
        <f t="shared" si="10"/>
        <v/>
      </c>
      <c r="Y23" s="19" t="str">
        <f t="shared" si="11"/>
        <v/>
      </c>
      <c r="Z23" s="19" t="str">
        <f t="shared" si="12"/>
        <v/>
      </c>
      <c r="AA23" s="17"/>
      <c r="AB23" s="19" t="str">
        <f t="shared" si="13"/>
        <v/>
      </c>
    </row>
    <row r="24" ht="51.75" customHeight="1" spans="1:28">
      <c r="A24" s="14"/>
      <c r="B24" s="14"/>
      <c r="C24" s="14"/>
      <c r="D24" s="14"/>
      <c r="E24" s="14"/>
      <c r="F24" s="14"/>
      <c r="G24" s="14"/>
      <c r="H24" s="14"/>
      <c r="I24" s="15"/>
      <c r="J24" s="15"/>
      <c r="K24" s="15"/>
      <c r="L24" s="14"/>
      <c r="M24" s="16"/>
      <c r="N24" s="17" t="str">
        <f t="shared" si="0"/>
        <v>fa-home</v>
      </c>
      <c r="O24" s="17" t="str">
        <f t="shared" si="1"/>
        <v/>
      </c>
      <c r="P24" s="17" t="str">
        <f t="shared" si="2"/>
        <v/>
      </c>
      <c r="Q24" s="17" t="str">
        <f t="shared" si="3"/>
        <v/>
      </c>
      <c r="R24" s="17" t="str">
        <f t="shared" si="4"/>
        <v/>
      </c>
      <c r="S24" s="17" t="str">
        <f t="shared" si="5"/>
        <v/>
      </c>
      <c r="T24" s="17" t="str">
        <f t="shared" si="6"/>
        <v/>
      </c>
      <c r="U24" s="18" t="str">
        <f t="shared" si="7"/>
        <v/>
      </c>
      <c r="V24" s="17" t="str">
        <f t="shared" si="8"/>
        <v/>
      </c>
      <c r="W24" s="17" t="str">
        <f t="shared" si="9"/>
        <v/>
      </c>
      <c r="X24" s="17" t="str">
        <f t="shared" si="10"/>
        <v/>
      </c>
      <c r="Y24" s="19" t="str">
        <f t="shared" si="11"/>
        <v/>
      </c>
      <c r="Z24" s="19" t="str">
        <f t="shared" si="12"/>
        <v/>
      </c>
      <c r="AA24" s="17"/>
      <c r="AB24" s="19" t="str">
        <f t="shared" si="13"/>
        <v/>
      </c>
    </row>
    <row r="25" ht="51.75" customHeight="1" spans="1:28">
      <c r="A25" s="14"/>
      <c r="B25" s="14"/>
      <c r="C25" s="14"/>
      <c r="D25" s="14"/>
      <c r="E25" s="14"/>
      <c r="F25" s="14"/>
      <c r="G25" s="14"/>
      <c r="H25" s="14"/>
      <c r="I25" s="15"/>
      <c r="J25" s="15"/>
      <c r="K25" s="15"/>
      <c r="L25" s="14"/>
      <c r="M25" s="16"/>
      <c r="N25" s="17" t="str">
        <f t="shared" si="0"/>
        <v>fa-home</v>
      </c>
      <c r="O25" s="17" t="str">
        <f t="shared" si="1"/>
        <v/>
      </c>
      <c r="P25" s="17" t="str">
        <f t="shared" si="2"/>
        <v/>
      </c>
      <c r="Q25" s="17" t="str">
        <f t="shared" si="3"/>
        <v/>
      </c>
      <c r="R25" s="17" t="str">
        <f t="shared" si="4"/>
        <v/>
      </c>
      <c r="S25" s="17" t="str">
        <f t="shared" si="5"/>
        <v/>
      </c>
      <c r="T25" s="17" t="str">
        <f t="shared" si="6"/>
        <v/>
      </c>
      <c r="U25" s="18" t="str">
        <f t="shared" si="7"/>
        <v/>
      </c>
      <c r="V25" s="17" t="str">
        <f t="shared" si="8"/>
        <v/>
      </c>
      <c r="W25" s="17" t="str">
        <f t="shared" si="9"/>
        <v/>
      </c>
      <c r="X25" s="17" t="str">
        <f t="shared" si="10"/>
        <v/>
      </c>
      <c r="Y25" s="19" t="str">
        <f t="shared" si="11"/>
        <v/>
      </c>
      <c r="Z25" s="19" t="str">
        <f t="shared" si="12"/>
        <v/>
      </c>
      <c r="AA25" s="17"/>
      <c r="AB25" s="19" t="str">
        <f t="shared" si="13"/>
        <v/>
      </c>
    </row>
    <row r="26" ht="51.75" customHeight="1" spans="1:28">
      <c r="A26" s="14"/>
      <c r="B26" s="14"/>
      <c r="C26" s="14"/>
      <c r="D26" s="14"/>
      <c r="E26" s="14"/>
      <c r="F26" s="14"/>
      <c r="G26" s="14"/>
      <c r="H26" s="14"/>
      <c r="I26" s="15"/>
      <c r="J26" s="15"/>
      <c r="K26" s="15"/>
      <c r="L26" s="14"/>
      <c r="M26" s="16"/>
      <c r="N26" s="17" t="str">
        <f t="shared" si="0"/>
        <v>fa-home</v>
      </c>
      <c r="O26" s="17" t="str">
        <f t="shared" si="1"/>
        <v/>
      </c>
      <c r="P26" s="17" t="str">
        <f t="shared" si="2"/>
        <v/>
      </c>
      <c r="Q26" s="17" t="str">
        <f t="shared" si="3"/>
        <v/>
      </c>
      <c r="R26" s="17" t="str">
        <f t="shared" si="4"/>
        <v/>
      </c>
      <c r="S26" s="17" t="str">
        <f t="shared" si="5"/>
        <v/>
      </c>
      <c r="T26" s="17" t="str">
        <f t="shared" si="6"/>
        <v/>
      </c>
      <c r="U26" s="18" t="str">
        <f t="shared" si="7"/>
        <v/>
      </c>
      <c r="V26" s="17" t="str">
        <f t="shared" si="8"/>
        <v/>
      </c>
      <c r="W26" s="17" t="str">
        <f t="shared" si="9"/>
        <v/>
      </c>
      <c r="X26" s="17" t="str">
        <f t="shared" si="10"/>
        <v/>
      </c>
      <c r="Y26" s="19" t="str">
        <f t="shared" si="11"/>
        <v/>
      </c>
      <c r="Z26" s="19" t="str">
        <f t="shared" si="12"/>
        <v/>
      </c>
      <c r="AA26" s="17"/>
      <c r="AB26" s="19" t="str">
        <f t="shared" si="13"/>
        <v/>
      </c>
    </row>
    <row r="27" ht="51.75" customHeight="1" spans="1:28">
      <c r="A27" s="14"/>
      <c r="B27" s="14"/>
      <c r="C27" s="14"/>
      <c r="D27" s="14"/>
      <c r="E27" s="14"/>
      <c r="F27" s="14"/>
      <c r="G27" s="14"/>
      <c r="H27" s="14"/>
      <c r="I27" s="15"/>
      <c r="J27" s="15"/>
      <c r="K27" s="15"/>
      <c r="L27" s="14"/>
      <c r="M27" s="16"/>
      <c r="N27" s="17" t="str">
        <f t="shared" si="0"/>
        <v>fa-home</v>
      </c>
      <c r="O27" s="17" t="str">
        <f t="shared" si="1"/>
        <v/>
      </c>
      <c r="P27" s="17" t="str">
        <f t="shared" si="2"/>
        <v/>
      </c>
      <c r="Q27" s="17" t="str">
        <f t="shared" si="3"/>
        <v/>
      </c>
      <c r="R27" s="17" t="str">
        <f t="shared" si="4"/>
        <v/>
      </c>
      <c r="S27" s="17" t="str">
        <f t="shared" si="5"/>
        <v/>
      </c>
      <c r="T27" s="17" t="str">
        <f t="shared" si="6"/>
        <v/>
      </c>
      <c r="U27" s="18" t="str">
        <f t="shared" si="7"/>
        <v/>
      </c>
      <c r="V27" s="17" t="str">
        <f t="shared" si="8"/>
        <v/>
      </c>
      <c r="W27" s="17" t="str">
        <f t="shared" si="9"/>
        <v/>
      </c>
      <c r="X27" s="17" t="str">
        <f t="shared" si="10"/>
        <v/>
      </c>
      <c r="Y27" s="19" t="str">
        <f t="shared" si="11"/>
        <v/>
      </c>
      <c r="Z27" s="19" t="str">
        <f t="shared" si="12"/>
        <v/>
      </c>
      <c r="AA27" s="17"/>
      <c r="AB27" s="19" t="str">
        <f t="shared" si="13"/>
        <v/>
      </c>
    </row>
    <row r="28" ht="51.75" customHeight="1" spans="1:28">
      <c r="A28" s="14"/>
      <c r="B28" s="14"/>
      <c r="C28" s="14"/>
      <c r="D28" s="14"/>
      <c r="E28" s="14"/>
      <c r="F28" s="14"/>
      <c r="G28" s="14"/>
      <c r="H28" s="14"/>
      <c r="I28" s="15"/>
      <c r="J28" s="15"/>
      <c r="K28" s="15"/>
      <c r="L28" s="14"/>
      <c r="M28" s="16"/>
      <c r="N28" s="17" t="str">
        <f t="shared" si="0"/>
        <v>fa-home</v>
      </c>
      <c r="O28" s="17" t="str">
        <f t="shared" si="1"/>
        <v/>
      </c>
      <c r="P28" s="17" t="str">
        <f t="shared" si="2"/>
        <v/>
      </c>
      <c r="Q28" s="17" t="str">
        <f t="shared" si="3"/>
        <v/>
      </c>
      <c r="R28" s="17" t="str">
        <f t="shared" si="4"/>
        <v/>
      </c>
      <c r="S28" s="17" t="str">
        <f t="shared" si="5"/>
        <v/>
      </c>
      <c r="T28" s="17" t="str">
        <f t="shared" si="6"/>
        <v/>
      </c>
      <c r="U28" s="18" t="str">
        <f t="shared" si="7"/>
        <v/>
      </c>
      <c r="V28" s="17" t="str">
        <f t="shared" si="8"/>
        <v/>
      </c>
      <c r="W28" s="17" t="str">
        <f t="shared" si="9"/>
        <v/>
      </c>
      <c r="X28" s="17" t="str">
        <f t="shared" si="10"/>
        <v/>
      </c>
      <c r="Y28" s="19" t="str">
        <f t="shared" si="11"/>
        <v/>
      </c>
      <c r="Z28" s="19" t="str">
        <f t="shared" si="12"/>
        <v/>
      </c>
      <c r="AA28" s="17"/>
      <c r="AB28" s="19" t="str">
        <f t="shared" si="13"/>
        <v/>
      </c>
    </row>
    <row r="29" ht="51.75" customHeight="1" spans="1:28">
      <c r="A29" s="14"/>
      <c r="B29" s="14"/>
      <c r="C29" s="14"/>
      <c r="D29" s="14"/>
      <c r="E29" s="14"/>
      <c r="F29" s="14"/>
      <c r="G29" s="14"/>
      <c r="H29" s="14"/>
      <c r="I29" s="15"/>
      <c r="J29" s="15"/>
      <c r="K29" s="15"/>
      <c r="L29" s="14"/>
      <c r="M29" s="16"/>
      <c r="N29" s="17" t="str">
        <f t="shared" si="0"/>
        <v>fa-home</v>
      </c>
      <c r="O29" s="17" t="str">
        <f t="shared" si="1"/>
        <v/>
      </c>
      <c r="P29" s="17" t="str">
        <f t="shared" si="2"/>
        <v/>
      </c>
      <c r="Q29" s="17" t="str">
        <f t="shared" si="3"/>
        <v/>
      </c>
      <c r="R29" s="17" t="str">
        <f t="shared" si="4"/>
        <v/>
      </c>
      <c r="S29" s="17" t="str">
        <f t="shared" si="5"/>
        <v/>
      </c>
      <c r="T29" s="17" t="str">
        <f t="shared" si="6"/>
        <v/>
      </c>
      <c r="U29" s="18" t="str">
        <f t="shared" si="7"/>
        <v/>
      </c>
      <c r="V29" s="17" t="str">
        <f t="shared" si="8"/>
        <v/>
      </c>
      <c r="W29" s="17" t="str">
        <f t="shared" si="9"/>
        <v/>
      </c>
      <c r="X29" s="17" t="str">
        <f t="shared" si="10"/>
        <v/>
      </c>
      <c r="Y29" s="19" t="str">
        <f t="shared" si="11"/>
        <v/>
      </c>
      <c r="Z29" s="19" t="str">
        <f t="shared" si="12"/>
        <v/>
      </c>
      <c r="AA29" s="17"/>
      <c r="AB29" s="19" t="str">
        <f t="shared" si="13"/>
        <v/>
      </c>
    </row>
    <row r="30" ht="51.75" customHeight="1" spans="1:28">
      <c r="A30" s="14"/>
      <c r="B30" s="14"/>
      <c r="C30" s="14"/>
      <c r="D30" s="14"/>
      <c r="E30" s="14"/>
      <c r="F30" s="14"/>
      <c r="G30" s="14"/>
      <c r="H30" s="14"/>
      <c r="I30" s="15"/>
      <c r="J30" s="15"/>
      <c r="K30" s="15"/>
      <c r="L30" s="14"/>
      <c r="M30" s="16"/>
      <c r="N30" s="17" t="str">
        <f t="shared" si="0"/>
        <v>fa-home</v>
      </c>
      <c r="O30" s="17" t="str">
        <f t="shared" si="1"/>
        <v/>
      </c>
      <c r="P30" s="17" t="str">
        <f t="shared" si="2"/>
        <v/>
      </c>
      <c r="Q30" s="17" t="str">
        <f t="shared" si="3"/>
        <v/>
      </c>
      <c r="R30" s="17" t="str">
        <f t="shared" si="4"/>
        <v/>
      </c>
      <c r="S30" s="17" t="str">
        <f t="shared" si="5"/>
        <v/>
      </c>
      <c r="T30" s="17" t="str">
        <f t="shared" si="6"/>
        <v/>
      </c>
      <c r="U30" s="18" t="str">
        <f t="shared" si="7"/>
        <v/>
      </c>
      <c r="V30" s="17" t="str">
        <f t="shared" si="8"/>
        <v/>
      </c>
      <c r="W30" s="17" t="str">
        <f t="shared" si="9"/>
        <v/>
      </c>
      <c r="X30" s="17" t="str">
        <f t="shared" si="10"/>
        <v/>
      </c>
      <c r="Y30" s="19" t="str">
        <f t="shared" si="11"/>
        <v/>
      </c>
      <c r="Z30" s="19" t="str">
        <f t="shared" si="12"/>
        <v/>
      </c>
      <c r="AA30" s="17"/>
      <c r="AB30" s="19" t="str">
        <f t="shared" si="13"/>
        <v/>
      </c>
    </row>
    <row r="31" ht="51.75" customHeight="1" spans="1:28">
      <c r="A31" s="14"/>
      <c r="B31" s="14"/>
      <c r="C31" s="14"/>
      <c r="D31" s="14"/>
      <c r="E31" s="14"/>
      <c r="F31" s="14"/>
      <c r="G31" s="14"/>
      <c r="H31" s="14"/>
      <c r="I31" s="15"/>
      <c r="J31" s="15"/>
      <c r="K31" s="15"/>
      <c r="L31" s="14"/>
      <c r="M31" s="16"/>
      <c r="N31" s="17" t="str">
        <f t="shared" si="0"/>
        <v>fa-home</v>
      </c>
      <c r="O31" s="17" t="str">
        <f t="shared" si="1"/>
        <v/>
      </c>
      <c r="P31" s="17" t="str">
        <f t="shared" si="2"/>
        <v/>
      </c>
      <c r="Q31" s="17" t="str">
        <f t="shared" si="3"/>
        <v/>
      </c>
      <c r="R31" s="17" t="str">
        <f t="shared" si="4"/>
        <v/>
      </c>
      <c r="S31" s="17" t="str">
        <f t="shared" si="5"/>
        <v/>
      </c>
      <c r="T31" s="17" t="str">
        <f t="shared" si="6"/>
        <v/>
      </c>
      <c r="U31" s="18" t="str">
        <f t="shared" si="7"/>
        <v/>
      </c>
      <c r="V31" s="17" t="str">
        <f t="shared" si="8"/>
        <v/>
      </c>
      <c r="W31" s="17" t="str">
        <f t="shared" si="9"/>
        <v/>
      </c>
      <c r="X31" s="17" t="str">
        <f t="shared" si="10"/>
        <v/>
      </c>
      <c r="Y31" s="19" t="str">
        <f t="shared" si="11"/>
        <v/>
      </c>
      <c r="Z31" s="19" t="str">
        <f t="shared" si="12"/>
        <v/>
      </c>
      <c r="AA31" s="17"/>
      <c r="AB31" s="19" t="str">
        <f t="shared" si="13"/>
        <v/>
      </c>
    </row>
    <row r="32" ht="51.75" customHeight="1" spans="1:28">
      <c r="A32" s="14"/>
      <c r="B32" s="14"/>
      <c r="C32" s="14"/>
      <c r="D32" s="14"/>
      <c r="E32" s="14"/>
      <c r="F32" s="14"/>
      <c r="G32" s="14"/>
      <c r="H32" s="14"/>
      <c r="I32" s="15"/>
      <c r="J32" s="15"/>
      <c r="K32" s="15"/>
      <c r="L32" s="14"/>
      <c r="M32" s="16"/>
      <c r="N32" s="17" t="str">
        <f t="shared" si="0"/>
        <v>fa-home</v>
      </c>
      <c r="O32" s="17" t="str">
        <f t="shared" si="1"/>
        <v/>
      </c>
      <c r="P32" s="17" t="str">
        <f t="shared" si="2"/>
        <v/>
      </c>
      <c r="Q32" s="17" t="str">
        <f t="shared" si="3"/>
        <v/>
      </c>
      <c r="R32" s="17" t="str">
        <f t="shared" si="4"/>
        <v/>
      </c>
      <c r="S32" s="17" t="str">
        <f t="shared" si="5"/>
        <v/>
      </c>
      <c r="T32" s="17" t="str">
        <f t="shared" si="6"/>
        <v/>
      </c>
      <c r="U32" s="18" t="str">
        <f t="shared" si="7"/>
        <v/>
      </c>
      <c r="V32" s="17" t="str">
        <f t="shared" si="8"/>
        <v/>
      </c>
      <c r="W32" s="17" t="str">
        <f t="shared" si="9"/>
        <v/>
      </c>
      <c r="X32" s="17" t="str">
        <f t="shared" si="10"/>
        <v/>
      </c>
      <c r="Y32" s="19" t="str">
        <f t="shared" si="11"/>
        <v/>
      </c>
      <c r="Z32" s="19" t="str">
        <f t="shared" si="12"/>
        <v/>
      </c>
      <c r="AA32" s="17"/>
      <c r="AB32" s="19" t="str">
        <f t="shared" si="13"/>
        <v/>
      </c>
    </row>
    <row r="33" customHeight="1" spans="1:28">
      <c r="A33" s="14"/>
      <c r="B33" s="14"/>
      <c r="C33" s="14"/>
      <c r="D33" s="14"/>
      <c r="E33" s="14"/>
      <c r="F33" s="14"/>
      <c r="G33" s="14"/>
      <c r="H33" s="14"/>
      <c r="I33" s="15"/>
      <c r="J33" s="15"/>
      <c r="K33" s="15"/>
      <c r="L33" s="14"/>
      <c r="M33" s="16"/>
      <c r="N33" s="17" t="str">
        <f t="shared" si="0"/>
        <v>fa-home</v>
      </c>
      <c r="O33" s="17" t="str">
        <f t="shared" si="1"/>
        <v/>
      </c>
      <c r="P33" s="17" t="str">
        <f t="shared" si="2"/>
        <v/>
      </c>
      <c r="Q33" s="17" t="str">
        <f t="shared" si="3"/>
        <v/>
      </c>
      <c r="R33" s="17" t="str">
        <f t="shared" si="4"/>
        <v/>
      </c>
      <c r="S33" s="17" t="str">
        <f t="shared" si="5"/>
        <v/>
      </c>
      <c r="T33" s="17" t="str">
        <f t="shared" si="6"/>
        <v/>
      </c>
      <c r="U33" s="18" t="str">
        <f t="shared" si="7"/>
        <v/>
      </c>
      <c r="V33" s="17" t="str">
        <f t="shared" si="8"/>
        <v/>
      </c>
      <c r="W33" s="17" t="str">
        <f t="shared" si="9"/>
        <v/>
      </c>
      <c r="X33" s="17" t="str">
        <f t="shared" si="10"/>
        <v/>
      </c>
      <c r="Y33" s="19" t="str">
        <f t="shared" si="11"/>
        <v/>
      </c>
      <c r="Z33" s="19" t="str">
        <f t="shared" si="12"/>
        <v/>
      </c>
      <c r="AA33" s="17"/>
      <c r="AB33" s="19" t="str">
        <f t="shared" si="13"/>
        <v/>
      </c>
    </row>
    <row r="34" customHeight="1" spans="1:28">
      <c r="A34" s="14"/>
      <c r="B34" s="14"/>
      <c r="C34" s="14"/>
      <c r="D34" s="14"/>
      <c r="E34" s="14"/>
      <c r="F34" s="14"/>
      <c r="G34" s="14"/>
      <c r="H34" s="14"/>
      <c r="I34" s="15"/>
      <c r="J34" s="15"/>
      <c r="K34" s="15"/>
      <c r="L34" s="14"/>
      <c r="M34" s="16"/>
      <c r="N34" s="17" t="str">
        <f t="shared" si="0"/>
        <v>fa-home</v>
      </c>
      <c r="O34" s="17" t="str">
        <f t="shared" si="1"/>
        <v/>
      </c>
      <c r="P34" s="17" t="str">
        <f t="shared" si="2"/>
        <v/>
      </c>
      <c r="Q34" s="17" t="str">
        <f t="shared" si="3"/>
        <v/>
      </c>
      <c r="R34" s="17" t="str">
        <f t="shared" si="4"/>
        <v/>
      </c>
      <c r="S34" s="17" t="str">
        <f t="shared" si="5"/>
        <v/>
      </c>
      <c r="T34" s="17" t="str">
        <f t="shared" si="6"/>
        <v/>
      </c>
      <c r="U34" s="18" t="str">
        <f t="shared" si="7"/>
        <v/>
      </c>
      <c r="V34" s="17" t="str">
        <f t="shared" si="8"/>
        <v/>
      </c>
      <c r="W34" s="17" t="str">
        <f t="shared" si="9"/>
        <v/>
      </c>
      <c r="X34" s="17" t="str">
        <f t="shared" si="10"/>
        <v/>
      </c>
      <c r="Y34" s="19" t="str">
        <f t="shared" si="11"/>
        <v/>
      </c>
      <c r="Z34" s="19" t="str">
        <f t="shared" si="12"/>
        <v/>
      </c>
      <c r="AA34" s="17"/>
      <c r="AB34" s="19" t="str">
        <f t="shared" si="13"/>
        <v/>
      </c>
    </row>
    <row r="35" customHeight="1" spans="1:28">
      <c r="A35" s="14"/>
      <c r="B35" s="14"/>
      <c r="C35" s="14"/>
      <c r="D35" s="14"/>
      <c r="E35" s="14"/>
      <c r="F35" s="14"/>
      <c r="G35" s="14"/>
      <c r="H35" s="14"/>
      <c r="I35" s="15"/>
      <c r="J35" s="15"/>
      <c r="K35" s="15"/>
      <c r="L35" s="14"/>
      <c r="M35" s="16"/>
      <c r="N35" s="17" t="str">
        <f t="shared" si="0"/>
        <v>fa-home</v>
      </c>
      <c r="O35" s="17" t="str">
        <f t="shared" si="1"/>
        <v/>
      </c>
      <c r="P35" s="17" t="str">
        <f t="shared" si="2"/>
        <v/>
      </c>
      <c r="Q35" s="17" t="str">
        <f t="shared" si="3"/>
        <v/>
      </c>
      <c r="R35" s="17" t="str">
        <f t="shared" si="4"/>
        <v/>
      </c>
      <c r="S35" s="17" t="str">
        <f t="shared" si="5"/>
        <v/>
      </c>
      <c r="T35" s="17" t="str">
        <f t="shared" si="6"/>
        <v/>
      </c>
      <c r="U35" s="18" t="str">
        <f t="shared" si="7"/>
        <v/>
      </c>
      <c r="V35" s="17" t="str">
        <f t="shared" si="8"/>
        <v/>
      </c>
      <c r="W35" s="17" t="str">
        <f t="shared" si="9"/>
        <v/>
      </c>
      <c r="X35" s="17" t="str">
        <f t="shared" si="10"/>
        <v/>
      </c>
      <c r="Y35" s="19" t="str">
        <f t="shared" si="11"/>
        <v/>
      </c>
      <c r="Z35" s="19" t="str">
        <f t="shared" si="12"/>
        <v/>
      </c>
      <c r="AA35" s="17"/>
      <c r="AB35" s="19" t="str">
        <f t="shared" si="13"/>
        <v/>
      </c>
    </row>
    <row r="36" customHeight="1" spans="1:28">
      <c r="A36" s="14"/>
      <c r="B36" s="14"/>
      <c r="C36" s="14"/>
      <c r="D36" s="14"/>
      <c r="E36" s="14"/>
      <c r="F36" s="14"/>
      <c r="G36" s="14"/>
      <c r="H36" s="14"/>
      <c r="I36" s="15"/>
      <c r="J36" s="15"/>
      <c r="K36" s="15"/>
      <c r="L36" s="14"/>
      <c r="M36" s="16"/>
      <c r="N36" s="17" t="str">
        <f t="shared" si="0"/>
        <v>fa-home</v>
      </c>
      <c r="O36" s="17" t="str">
        <f t="shared" si="1"/>
        <v/>
      </c>
      <c r="P36" s="17" t="str">
        <f t="shared" si="2"/>
        <v/>
      </c>
      <c r="Q36" s="17" t="str">
        <f t="shared" si="3"/>
        <v/>
      </c>
      <c r="R36" s="17" t="str">
        <f t="shared" si="4"/>
        <v/>
      </c>
      <c r="S36" s="17" t="str">
        <f t="shared" si="5"/>
        <v/>
      </c>
      <c r="T36" s="17" t="str">
        <f t="shared" si="6"/>
        <v/>
      </c>
      <c r="U36" s="18" t="str">
        <f t="shared" si="7"/>
        <v/>
      </c>
      <c r="V36" s="17" t="str">
        <f t="shared" si="8"/>
        <v/>
      </c>
      <c r="W36" s="17" t="str">
        <f t="shared" si="9"/>
        <v/>
      </c>
      <c r="X36" s="17" t="str">
        <f t="shared" si="10"/>
        <v/>
      </c>
      <c r="Y36" s="19" t="str">
        <f t="shared" si="11"/>
        <v/>
      </c>
      <c r="Z36" s="19" t="str">
        <f t="shared" si="12"/>
        <v/>
      </c>
      <c r="AA36" s="17"/>
      <c r="AB36" s="19" t="str">
        <f t="shared" si="13"/>
        <v/>
      </c>
    </row>
    <row r="37" customHeight="1" spans="1:28">
      <c r="A37" s="14"/>
      <c r="B37" s="14"/>
      <c r="C37" s="14"/>
      <c r="D37" s="14"/>
      <c r="E37" s="14"/>
      <c r="F37" s="14"/>
      <c r="G37" s="14"/>
      <c r="H37" s="14"/>
      <c r="I37" s="15"/>
      <c r="J37" s="15"/>
      <c r="K37" s="15"/>
      <c r="L37" s="14"/>
      <c r="M37" s="16"/>
      <c r="N37" s="17" t="str">
        <f t="shared" si="0"/>
        <v>fa-home</v>
      </c>
      <c r="O37" s="17" t="str">
        <f t="shared" si="1"/>
        <v/>
      </c>
      <c r="P37" s="17" t="str">
        <f t="shared" si="2"/>
        <v/>
      </c>
      <c r="Q37" s="17" t="str">
        <f t="shared" si="3"/>
        <v/>
      </c>
      <c r="R37" s="17" t="str">
        <f t="shared" si="4"/>
        <v/>
      </c>
      <c r="S37" s="17" t="str">
        <f t="shared" si="5"/>
        <v/>
      </c>
      <c r="T37" s="17" t="str">
        <f t="shared" si="6"/>
        <v/>
      </c>
      <c r="U37" s="18" t="str">
        <f t="shared" si="7"/>
        <v/>
      </c>
      <c r="V37" s="17" t="str">
        <f t="shared" si="8"/>
        <v/>
      </c>
      <c r="W37" s="17" t="str">
        <f t="shared" si="9"/>
        <v/>
      </c>
      <c r="X37" s="17" t="str">
        <f t="shared" si="10"/>
        <v/>
      </c>
      <c r="Y37" s="19" t="str">
        <f t="shared" si="11"/>
        <v/>
      </c>
      <c r="Z37" s="19" t="str">
        <f t="shared" si="12"/>
        <v/>
      </c>
      <c r="AA37" s="17"/>
      <c r="AB37" s="19" t="str">
        <f t="shared" si="13"/>
        <v/>
      </c>
    </row>
    <row r="38" customHeight="1" spans="1:28">
      <c r="A38" s="14"/>
      <c r="B38" s="14"/>
      <c r="C38" s="14"/>
      <c r="D38" s="14"/>
      <c r="E38" s="14"/>
      <c r="F38" s="14"/>
      <c r="G38" s="14"/>
      <c r="H38" s="14"/>
      <c r="I38" s="15"/>
      <c r="J38" s="15"/>
      <c r="K38" s="15"/>
      <c r="L38" s="14"/>
      <c r="M38" s="16"/>
      <c r="N38" s="17" t="str">
        <f t="shared" si="0"/>
        <v>fa-home</v>
      </c>
      <c r="O38" s="17" t="str">
        <f t="shared" si="1"/>
        <v/>
      </c>
      <c r="P38" s="17" t="str">
        <f t="shared" si="2"/>
        <v/>
      </c>
      <c r="Q38" s="17" t="str">
        <f t="shared" si="3"/>
        <v/>
      </c>
      <c r="R38" s="17" t="str">
        <f t="shared" si="4"/>
        <v/>
      </c>
      <c r="S38" s="17" t="str">
        <f t="shared" si="5"/>
        <v/>
      </c>
      <c r="T38" s="17" t="str">
        <f t="shared" si="6"/>
        <v/>
      </c>
      <c r="U38" s="18" t="str">
        <f t="shared" si="7"/>
        <v/>
      </c>
      <c r="V38" s="17" t="str">
        <f t="shared" si="8"/>
        <v/>
      </c>
      <c r="W38" s="17" t="str">
        <f t="shared" si="9"/>
        <v/>
      </c>
      <c r="X38" s="17" t="str">
        <f t="shared" si="10"/>
        <v/>
      </c>
      <c r="Y38" s="19" t="str">
        <f t="shared" si="11"/>
        <v/>
      </c>
      <c r="Z38" s="19" t="str">
        <f t="shared" si="12"/>
        <v/>
      </c>
      <c r="AA38" s="17"/>
      <c r="AB38" s="19" t="str">
        <f t="shared" si="13"/>
        <v/>
      </c>
    </row>
    <row r="39" customHeight="1" spans="1:28">
      <c r="A39" s="14"/>
      <c r="B39" s="14"/>
      <c r="C39" s="14"/>
      <c r="D39" s="14"/>
      <c r="E39" s="14"/>
      <c r="F39" s="14"/>
      <c r="G39" s="14"/>
      <c r="H39" s="14"/>
      <c r="I39" s="15"/>
      <c r="J39" s="15"/>
      <c r="K39" s="15"/>
      <c r="L39" s="14"/>
      <c r="M39" s="16"/>
      <c r="N39" s="17" t="str">
        <f t="shared" si="0"/>
        <v>fa-home</v>
      </c>
      <c r="O39" s="17" t="str">
        <f t="shared" si="1"/>
        <v/>
      </c>
      <c r="P39" s="17" t="str">
        <f t="shared" si="2"/>
        <v/>
      </c>
      <c r="Q39" s="17" t="str">
        <f t="shared" si="3"/>
        <v/>
      </c>
      <c r="R39" s="17" t="str">
        <f t="shared" si="4"/>
        <v/>
      </c>
      <c r="S39" s="17" t="str">
        <f t="shared" si="5"/>
        <v/>
      </c>
      <c r="T39" s="17" t="str">
        <f t="shared" si="6"/>
        <v/>
      </c>
      <c r="U39" s="18" t="str">
        <f t="shared" si="7"/>
        <v/>
      </c>
      <c r="V39" s="17" t="str">
        <f t="shared" si="8"/>
        <v/>
      </c>
      <c r="W39" s="17" t="str">
        <f t="shared" si="9"/>
        <v/>
      </c>
      <c r="X39" s="17" t="str">
        <f t="shared" si="10"/>
        <v/>
      </c>
      <c r="Y39" s="19" t="str">
        <f t="shared" si="11"/>
        <v/>
      </c>
      <c r="Z39" s="19" t="str">
        <f t="shared" si="12"/>
        <v/>
      </c>
      <c r="AA39" s="17"/>
      <c r="AB39" s="19" t="str">
        <f t="shared" si="13"/>
        <v/>
      </c>
    </row>
    <row r="40" customHeight="1" spans="1:28">
      <c r="A40" s="14"/>
      <c r="B40" s="14"/>
      <c r="C40" s="14"/>
      <c r="D40" s="14"/>
      <c r="E40" s="14"/>
      <c r="F40" s="14"/>
      <c r="G40" s="14"/>
      <c r="H40" s="14"/>
      <c r="I40" s="15"/>
      <c r="J40" s="15"/>
      <c r="K40" s="15"/>
      <c r="L40" s="14"/>
      <c r="M40" s="16"/>
      <c r="N40" s="17" t="str">
        <f t="shared" si="0"/>
        <v>fa-home</v>
      </c>
      <c r="O40" s="17" t="str">
        <f t="shared" si="1"/>
        <v/>
      </c>
      <c r="P40" s="17" t="str">
        <f t="shared" si="2"/>
        <v/>
      </c>
      <c r="Q40" s="17" t="str">
        <f t="shared" si="3"/>
        <v/>
      </c>
      <c r="R40" s="17" t="str">
        <f t="shared" si="4"/>
        <v/>
      </c>
      <c r="S40" s="17" t="str">
        <f t="shared" si="5"/>
        <v/>
      </c>
      <c r="T40" s="17" t="str">
        <f t="shared" si="6"/>
        <v/>
      </c>
      <c r="U40" s="18" t="str">
        <f t="shared" si="7"/>
        <v/>
      </c>
      <c r="V40" s="17" t="str">
        <f t="shared" si="8"/>
        <v/>
      </c>
      <c r="W40" s="17" t="str">
        <f t="shared" si="9"/>
        <v/>
      </c>
      <c r="X40" s="17" t="str">
        <f t="shared" si="10"/>
        <v/>
      </c>
      <c r="Y40" s="19" t="str">
        <f t="shared" si="11"/>
        <v/>
      </c>
      <c r="Z40" s="19" t="str">
        <f t="shared" si="12"/>
        <v/>
      </c>
      <c r="AA40" s="17"/>
      <c r="AB40" s="19" t="str">
        <f t="shared" si="13"/>
        <v/>
      </c>
    </row>
    <row r="41" customHeight="1" spans="1:28">
      <c r="A41" s="14"/>
      <c r="B41" s="14"/>
      <c r="C41" s="14"/>
      <c r="D41" s="14"/>
      <c r="E41" s="14"/>
      <c r="F41" s="14"/>
      <c r="G41" s="14"/>
      <c r="H41" s="14"/>
      <c r="I41" s="15"/>
      <c r="J41" s="15"/>
      <c r="K41" s="15"/>
      <c r="L41" s="14"/>
      <c r="M41" s="16"/>
      <c r="N41" s="17" t="str">
        <f t="shared" si="0"/>
        <v>fa-home</v>
      </c>
      <c r="O41" s="17" t="str">
        <f t="shared" si="1"/>
        <v/>
      </c>
      <c r="P41" s="17" t="str">
        <f t="shared" si="2"/>
        <v/>
      </c>
      <c r="Q41" s="17" t="str">
        <f t="shared" si="3"/>
        <v/>
      </c>
      <c r="R41" s="17" t="str">
        <f t="shared" si="4"/>
        <v/>
      </c>
      <c r="S41" s="17" t="str">
        <f t="shared" si="5"/>
        <v/>
      </c>
      <c r="T41" s="17" t="str">
        <f t="shared" si="6"/>
        <v/>
      </c>
      <c r="U41" s="18" t="str">
        <f t="shared" si="7"/>
        <v/>
      </c>
      <c r="V41" s="17" t="str">
        <f t="shared" si="8"/>
        <v/>
      </c>
      <c r="W41" s="17" t="str">
        <f t="shared" si="9"/>
        <v/>
      </c>
      <c r="X41" s="17" t="str">
        <f t="shared" si="10"/>
        <v/>
      </c>
      <c r="Y41" s="19" t="str">
        <f t="shared" si="11"/>
        <v/>
      </c>
      <c r="Z41" s="19" t="str">
        <f t="shared" si="12"/>
        <v/>
      </c>
      <c r="AA41" s="17"/>
      <c r="AB41" s="19" t="str">
        <f t="shared" si="13"/>
        <v/>
      </c>
    </row>
    <row r="42" customHeight="1" spans="1:28">
      <c r="A42" s="14"/>
      <c r="B42" s="14"/>
      <c r="C42" s="14"/>
      <c r="D42" s="14"/>
      <c r="E42" s="14"/>
      <c r="F42" s="14"/>
      <c r="G42" s="14"/>
      <c r="H42" s="14"/>
      <c r="I42" s="15"/>
      <c r="J42" s="15"/>
      <c r="K42" s="15"/>
      <c r="L42" s="14"/>
      <c r="M42" s="16"/>
      <c r="N42" s="17" t="str">
        <f t="shared" si="0"/>
        <v>fa-home</v>
      </c>
      <c r="O42" s="17" t="str">
        <f t="shared" si="1"/>
        <v/>
      </c>
      <c r="P42" s="17" t="str">
        <f t="shared" si="2"/>
        <v/>
      </c>
      <c r="Q42" s="17" t="str">
        <f t="shared" si="3"/>
        <v/>
      </c>
      <c r="R42" s="17" t="str">
        <f t="shared" si="4"/>
        <v/>
      </c>
      <c r="S42" s="17" t="str">
        <f t="shared" si="5"/>
        <v/>
      </c>
      <c r="T42" s="17" t="str">
        <f t="shared" si="6"/>
        <v/>
      </c>
      <c r="U42" s="18" t="str">
        <f t="shared" si="7"/>
        <v/>
      </c>
      <c r="V42" s="17" t="str">
        <f t="shared" si="8"/>
        <v/>
      </c>
      <c r="W42" s="17" t="str">
        <f t="shared" si="9"/>
        <v/>
      </c>
      <c r="X42" s="17" t="str">
        <f t="shared" si="10"/>
        <v/>
      </c>
      <c r="Y42" s="19" t="str">
        <f t="shared" si="11"/>
        <v/>
      </c>
      <c r="Z42" s="19" t="str">
        <f t="shared" si="12"/>
        <v/>
      </c>
      <c r="AA42" s="17"/>
      <c r="AB42" s="19" t="str">
        <f t="shared" si="13"/>
        <v/>
      </c>
    </row>
    <row r="43" customHeight="1" spans="1:28">
      <c r="A43" s="14"/>
      <c r="B43" s="14"/>
      <c r="C43" s="14"/>
      <c r="D43" s="14"/>
      <c r="E43" s="14"/>
      <c r="F43" s="14"/>
      <c r="G43" s="14"/>
      <c r="H43" s="14"/>
      <c r="I43" s="15"/>
      <c r="J43" s="15"/>
      <c r="K43" s="15"/>
      <c r="L43" s="14"/>
      <c r="M43" s="16"/>
      <c r="N43" s="17" t="str">
        <f t="shared" si="0"/>
        <v>fa-home</v>
      </c>
      <c r="O43" s="17" t="str">
        <f t="shared" si="1"/>
        <v/>
      </c>
      <c r="P43" s="17" t="str">
        <f t="shared" si="2"/>
        <v/>
      </c>
      <c r="Q43" s="17" t="str">
        <f t="shared" si="3"/>
        <v/>
      </c>
      <c r="R43" s="17" t="str">
        <f t="shared" si="4"/>
        <v/>
      </c>
      <c r="S43" s="17" t="str">
        <f t="shared" si="5"/>
        <v/>
      </c>
      <c r="T43" s="17" t="str">
        <f t="shared" si="6"/>
        <v/>
      </c>
      <c r="U43" s="18" t="str">
        <f t="shared" si="7"/>
        <v/>
      </c>
      <c r="V43" s="17" t="str">
        <f t="shared" si="8"/>
        <v/>
      </c>
      <c r="W43" s="17" t="str">
        <f t="shared" si="9"/>
        <v/>
      </c>
      <c r="X43" s="17" t="str">
        <f t="shared" si="10"/>
        <v/>
      </c>
      <c r="Y43" s="19" t="str">
        <f t="shared" si="11"/>
        <v/>
      </c>
      <c r="Z43" s="19" t="str">
        <f t="shared" si="12"/>
        <v/>
      </c>
      <c r="AA43" s="17"/>
      <c r="AB43" s="19" t="str">
        <f t="shared" si="13"/>
        <v/>
      </c>
    </row>
    <row r="44" customHeight="1" spans="1:28">
      <c r="A44" s="14"/>
      <c r="B44" s="14"/>
      <c r="C44" s="14"/>
      <c r="D44" s="14"/>
      <c r="E44" s="14"/>
      <c r="F44" s="14"/>
      <c r="G44" s="14"/>
      <c r="H44" s="14"/>
      <c r="I44" s="15"/>
      <c r="J44" s="15"/>
      <c r="K44" s="15"/>
      <c r="L44" s="14"/>
      <c r="M44" s="16"/>
      <c r="N44" s="17" t="str">
        <f t="shared" si="0"/>
        <v>fa-home</v>
      </c>
      <c r="O44" s="17" t="str">
        <f t="shared" si="1"/>
        <v/>
      </c>
      <c r="P44" s="17" t="str">
        <f t="shared" si="2"/>
        <v/>
      </c>
      <c r="Q44" s="17" t="str">
        <f t="shared" si="3"/>
        <v/>
      </c>
      <c r="R44" s="17" t="str">
        <f t="shared" si="4"/>
        <v/>
      </c>
      <c r="S44" s="17" t="str">
        <f t="shared" si="5"/>
        <v/>
      </c>
      <c r="T44" s="17" t="str">
        <f t="shared" si="6"/>
        <v/>
      </c>
      <c r="U44" s="18" t="str">
        <f t="shared" si="7"/>
        <v/>
      </c>
      <c r="V44" s="17" t="str">
        <f t="shared" si="8"/>
        <v/>
      </c>
      <c r="W44" s="17" t="str">
        <f t="shared" si="9"/>
        <v/>
      </c>
      <c r="X44" s="17" t="str">
        <f t="shared" si="10"/>
        <v/>
      </c>
      <c r="Y44" s="19" t="str">
        <f t="shared" si="11"/>
        <v/>
      </c>
      <c r="Z44" s="19" t="str">
        <f t="shared" si="12"/>
        <v/>
      </c>
      <c r="AA44" s="17"/>
      <c r="AB44" s="19" t="str">
        <f t="shared" si="13"/>
        <v/>
      </c>
    </row>
    <row r="45" customHeight="1" spans="1:28">
      <c r="A45" s="14"/>
      <c r="B45" s="14"/>
      <c r="C45" s="14"/>
      <c r="D45" s="14"/>
      <c r="E45" s="14"/>
      <c r="F45" s="14"/>
      <c r="G45" s="14"/>
      <c r="H45" s="14"/>
      <c r="I45" s="15"/>
      <c r="J45" s="15"/>
      <c r="K45" s="15"/>
      <c r="L45" s="14"/>
      <c r="M45" s="16"/>
      <c r="N45" s="17" t="str">
        <f t="shared" si="0"/>
        <v>fa-home</v>
      </c>
      <c r="O45" s="17" t="str">
        <f t="shared" si="1"/>
        <v/>
      </c>
      <c r="P45" s="17" t="str">
        <f t="shared" si="2"/>
        <v/>
      </c>
      <c r="Q45" s="17" t="str">
        <f t="shared" si="3"/>
        <v/>
      </c>
      <c r="R45" s="17" t="str">
        <f t="shared" si="4"/>
        <v/>
      </c>
      <c r="S45" s="17" t="str">
        <f t="shared" si="5"/>
        <v/>
      </c>
      <c r="T45" s="17" t="str">
        <f t="shared" si="6"/>
        <v/>
      </c>
      <c r="U45" s="18" t="str">
        <f t="shared" si="7"/>
        <v/>
      </c>
      <c r="V45" s="17" t="str">
        <f t="shared" si="8"/>
        <v/>
      </c>
      <c r="W45" s="17" t="str">
        <f t="shared" si="9"/>
        <v/>
      </c>
      <c r="X45" s="17" t="str">
        <f t="shared" si="10"/>
        <v/>
      </c>
      <c r="Y45" s="19" t="str">
        <f t="shared" si="11"/>
        <v/>
      </c>
      <c r="Z45" s="19" t="str">
        <f t="shared" si="12"/>
        <v/>
      </c>
      <c r="AA45" s="17"/>
      <c r="AB45" s="19" t="str">
        <f t="shared" si="13"/>
        <v/>
      </c>
    </row>
    <row r="46" customHeight="1" spans="1:28">
      <c r="A46" s="14"/>
      <c r="B46" s="14"/>
      <c r="C46" s="14"/>
      <c r="D46" s="14"/>
      <c r="E46" s="14"/>
      <c r="F46" s="14"/>
      <c r="G46" s="14"/>
      <c r="H46" s="14"/>
      <c r="I46" s="15"/>
      <c r="J46" s="15"/>
      <c r="K46" s="15"/>
      <c r="L46" s="14"/>
      <c r="M46" s="16"/>
      <c r="N46" s="17" t="str">
        <f t="shared" si="0"/>
        <v>fa-home</v>
      </c>
      <c r="O46" s="17" t="str">
        <f t="shared" si="1"/>
        <v/>
      </c>
      <c r="P46" s="17" t="str">
        <f t="shared" si="2"/>
        <v/>
      </c>
      <c r="Q46" s="17" t="str">
        <f t="shared" si="3"/>
        <v/>
      </c>
      <c r="R46" s="17" t="str">
        <f t="shared" si="4"/>
        <v/>
      </c>
      <c r="S46" s="17" t="str">
        <f t="shared" si="5"/>
        <v/>
      </c>
      <c r="T46" s="17" t="str">
        <f t="shared" si="6"/>
        <v/>
      </c>
      <c r="U46" s="18" t="str">
        <f t="shared" si="7"/>
        <v/>
      </c>
      <c r="V46" s="17" t="str">
        <f t="shared" si="8"/>
        <v/>
      </c>
      <c r="W46" s="17" t="str">
        <f t="shared" si="9"/>
        <v/>
      </c>
      <c r="X46" s="17" t="str">
        <f t="shared" si="10"/>
        <v/>
      </c>
      <c r="Y46" s="19" t="str">
        <f t="shared" si="11"/>
        <v/>
      </c>
      <c r="Z46" s="19" t="str">
        <f t="shared" si="12"/>
        <v/>
      </c>
      <c r="AA46" s="17"/>
      <c r="AB46" s="19" t="str">
        <f t="shared" si="13"/>
        <v/>
      </c>
    </row>
    <row r="47" customHeight="1" spans="1:28">
      <c r="A47" s="14"/>
      <c r="B47" s="14"/>
      <c r="C47" s="14"/>
      <c r="D47" s="14"/>
      <c r="E47" s="14"/>
      <c r="F47" s="14"/>
      <c r="G47" s="14"/>
      <c r="H47" s="14"/>
      <c r="I47" s="15"/>
      <c r="J47" s="15"/>
      <c r="K47" s="15"/>
      <c r="L47" s="14"/>
      <c r="M47" s="16"/>
      <c r="N47" s="17" t="str">
        <f t="shared" si="0"/>
        <v>fa-home</v>
      </c>
      <c r="O47" s="17" t="str">
        <f t="shared" si="1"/>
        <v/>
      </c>
      <c r="P47" s="17" t="str">
        <f t="shared" si="2"/>
        <v/>
      </c>
      <c r="Q47" s="17" t="str">
        <f t="shared" si="3"/>
        <v/>
      </c>
      <c r="R47" s="17" t="str">
        <f t="shared" si="4"/>
        <v/>
      </c>
      <c r="S47" s="17" t="str">
        <f t="shared" si="5"/>
        <v/>
      </c>
      <c r="T47" s="17" t="str">
        <f t="shared" si="6"/>
        <v/>
      </c>
      <c r="U47" s="18" t="str">
        <f t="shared" si="7"/>
        <v/>
      </c>
      <c r="V47" s="17" t="str">
        <f t="shared" si="8"/>
        <v/>
      </c>
      <c r="W47" s="17" t="str">
        <f t="shared" si="9"/>
        <v/>
      </c>
      <c r="X47" s="17" t="str">
        <f t="shared" si="10"/>
        <v/>
      </c>
      <c r="Y47" s="19" t="str">
        <f t="shared" si="11"/>
        <v/>
      </c>
      <c r="Z47" s="19" t="str">
        <f t="shared" si="12"/>
        <v/>
      </c>
      <c r="AA47" s="17"/>
      <c r="AB47" s="19" t="str">
        <f t="shared" si="13"/>
        <v/>
      </c>
    </row>
    <row r="48" customHeight="1" spans="1:28">
      <c r="A48" s="14"/>
      <c r="B48" s="14"/>
      <c r="C48" s="14"/>
      <c r="D48" s="14"/>
      <c r="E48" s="14"/>
      <c r="F48" s="14"/>
      <c r="G48" s="14"/>
      <c r="H48" s="14"/>
      <c r="I48" s="15"/>
      <c r="J48" s="15"/>
      <c r="K48" s="15"/>
      <c r="L48" s="14"/>
      <c r="M48" s="16"/>
      <c r="N48" s="17" t="str">
        <f t="shared" si="0"/>
        <v>fa-home</v>
      </c>
      <c r="O48" s="17" t="str">
        <f t="shared" si="1"/>
        <v/>
      </c>
      <c r="P48" s="17" t="str">
        <f t="shared" si="2"/>
        <v/>
      </c>
      <c r="Q48" s="17" t="str">
        <f t="shared" si="3"/>
        <v/>
      </c>
      <c r="R48" s="17" t="str">
        <f t="shared" si="4"/>
        <v/>
      </c>
      <c r="S48" s="17" t="str">
        <f t="shared" si="5"/>
        <v/>
      </c>
      <c r="T48" s="17" t="str">
        <f t="shared" si="6"/>
        <v/>
      </c>
      <c r="U48" s="18" t="str">
        <f t="shared" si="7"/>
        <v/>
      </c>
      <c r="V48" s="17" t="str">
        <f t="shared" si="8"/>
        <v/>
      </c>
      <c r="W48" s="17" t="str">
        <f t="shared" si="9"/>
        <v/>
      </c>
      <c r="X48" s="17" t="str">
        <f t="shared" si="10"/>
        <v/>
      </c>
      <c r="Y48" s="19" t="str">
        <f t="shared" si="11"/>
        <v/>
      </c>
      <c r="Z48" s="19" t="str">
        <f t="shared" si="12"/>
        <v/>
      </c>
      <c r="AA48" s="17"/>
      <c r="AB48" s="19" t="str">
        <f t="shared" si="13"/>
        <v/>
      </c>
    </row>
    <row r="49" customHeight="1" spans="1:28">
      <c r="A49" s="14"/>
      <c r="B49" s="14"/>
      <c r="C49" s="14"/>
      <c r="D49" s="14"/>
      <c r="E49" s="14"/>
      <c r="F49" s="14"/>
      <c r="G49" s="14"/>
      <c r="H49" s="14"/>
      <c r="I49" s="15"/>
      <c r="J49" s="15"/>
      <c r="K49" s="15"/>
      <c r="L49" s="14"/>
      <c r="M49" s="16"/>
      <c r="N49" s="17" t="str">
        <f t="shared" si="0"/>
        <v>fa-home</v>
      </c>
      <c r="O49" s="17" t="str">
        <f t="shared" si="1"/>
        <v/>
      </c>
      <c r="P49" s="17" t="str">
        <f t="shared" si="2"/>
        <v/>
      </c>
      <c r="Q49" s="17" t="str">
        <f t="shared" si="3"/>
        <v/>
      </c>
      <c r="R49" s="17" t="str">
        <f t="shared" si="4"/>
        <v/>
      </c>
      <c r="S49" s="17" t="str">
        <f t="shared" si="5"/>
        <v/>
      </c>
      <c r="T49" s="17" t="str">
        <f t="shared" si="6"/>
        <v/>
      </c>
      <c r="U49" s="18" t="str">
        <f t="shared" si="7"/>
        <v/>
      </c>
      <c r="V49" s="17" t="str">
        <f t="shared" si="8"/>
        <v/>
      </c>
      <c r="W49" s="17" t="str">
        <f t="shared" si="9"/>
        <v/>
      </c>
      <c r="X49" s="17" t="str">
        <f t="shared" si="10"/>
        <v/>
      </c>
      <c r="Y49" s="19" t="str">
        <f t="shared" si="11"/>
        <v/>
      </c>
      <c r="Z49" s="19" t="str">
        <f t="shared" si="12"/>
        <v/>
      </c>
      <c r="AA49" s="17"/>
      <c r="AB49" s="19" t="str">
        <f t="shared" si="13"/>
        <v/>
      </c>
    </row>
    <row r="50" customHeight="1" spans="1:28">
      <c r="A50" s="14"/>
      <c r="B50" s="14"/>
      <c r="C50" s="14"/>
      <c r="D50" s="14"/>
      <c r="E50" s="14"/>
      <c r="F50" s="14"/>
      <c r="G50" s="14"/>
      <c r="H50" s="14"/>
      <c r="I50" s="15"/>
      <c r="J50" s="15"/>
      <c r="K50" s="15"/>
      <c r="L50" s="14"/>
      <c r="M50" s="16"/>
      <c r="N50" s="17" t="str">
        <f t="shared" si="0"/>
        <v>fa-home</v>
      </c>
      <c r="O50" s="17" t="str">
        <f t="shared" si="1"/>
        <v/>
      </c>
      <c r="P50" s="17" t="str">
        <f t="shared" si="2"/>
        <v/>
      </c>
      <c r="Q50" s="17" t="str">
        <f t="shared" si="3"/>
        <v/>
      </c>
      <c r="R50" s="17" t="str">
        <f t="shared" si="4"/>
        <v/>
      </c>
      <c r="S50" s="17" t="str">
        <f t="shared" si="5"/>
        <v/>
      </c>
      <c r="T50" s="17" t="str">
        <f t="shared" si="6"/>
        <v/>
      </c>
      <c r="U50" s="18" t="str">
        <f t="shared" si="7"/>
        <v/>
      </c>
      <c r="V50" s="17" t="str">
        <f t="shared" si="8"/>
        <v/>
      </c>
      <c r="W50" s="17" t="str">
        <f t="shared" si="9"/>
        <v/>
      </c>
      <c r="X50" s="17" t="str">
        <f t="shared" si="10"/>
        <v/>
      </c>
      <c r="Y50" s="19" t="str">
        <f t="shared" si="11"/>
        <v/>
      </c>
      <c r="Z50" s="19" t="str">
        <f t="shared" si="12"/>
        <v/>
      </c>
      <c r="AA50" s="17"/>
      <c r="AB50" s="19" t="str">
        <f t="shared" si="13"/>
        <v/>
      </c>
    </row>
    <row r="51" customHeight="1" spans="1:28">
      <c r="A51" s="14"/>
      <c r="B51" s="14"/>
      <c r="C51" s="14"/>
      <c r="D51" s="14"/>
      <c r="E51" s="14"/>
      <c r="F51" s="14"/>
      <c r="G51" s="14"/>
      <c r="H51" s="14"/>
      <c r="I51" s="15"/>
      <c r="J51" s="15"/>
      <c r="K51" s="15"/>
      <c r="L51" s="14"/>
      <c r="M51" s="16"/>
      <c r="N51" s="17" t="str">
        <f t="shared" si="0"/>
        <v>fa-home</v>
      </c>
      <c r="O51" s="17" t="str">
        <f t="shared" si="1"/>
        <v/>
      </c>
      <c r="P51" s="17" t="str">
        <f t="shared" si="2"/>
        <v/>
      </c>
      <c r="Q51" s="17" t="str">
        <f t="shared" si="3"/>
        <v/>
      </c>
      <c r="R51" s="17" t="str">
        <f t="shared" si="4"/>
        <v/>
      </c>
      <c r="S51" s="17" t="str">
        <f t="shared" si="5"/>
        <v/>
      </c>
      <c r="T51" s="17" t="str">
        <f t="shared" si="6"/>
        <v/>
      </c>
      <c r="U51" s="18" t="str">
        <f t="shared" si="7"/>
        <v/>
      </c>
      <c r="V51" s="17" t="str">
        <f t="shared" si="8"/>
        <v/>
      </c>
      <c r="W51" s="17" t="str">
        <f t="shared" si="9"/>
        <v/>
      </c>
      <c r="X51" s="17" t="str">
        <f t="shared" si="10"/>
        <v/>
      </c>
      <c r="Y51" s="19" t="str">
        <f t="shared" si="11"/>
        <v/>
      </c>
      <c r="Z51" s="19" t="str">
        <f t="shared" si="12"/>
        <v/>
      </c>
      <c r="AA51" s="17"/>
      <c r="AB51" s="19" t="str">
        <f t="shared" si="13"/>
        <v/>
      </c>
    </row>
    <row r="52" customHeight="1" spans="1:28">
      <c r="A52" s="14"/>
      <c r="B52" s="14"/>
      <c r="C52" s="14"/>
      <c r="D52" s="14"/>
      <c r="E52" s="14"/>
      <c r="F52" s="14"/>
      <c r="G52" s="14"/>
      <c r="H52" s="14"/>
      <c r="I52" s="15"/>
      <c r="J52" s="15"/>
      <c r="K52" s="15"/>
      <c r="L52" s="14"/>
      <c r="M52" s="16"/>
      <c r="N52" s="17" t="str">
        <f t="shared" si="0"/>
        <v>fa-home</v>
      </c>
      <c r="O52" s="17" t="str">
        <f t="shared" si="1"/>
        <v/>
      </c>
      <c r="P52" s="17" t="str">
        <f t="shared" si="2"/>
        <v/>
      </c>
      <c r="Q52" s="17" t="str">
        <f t="shared" si="3"/>
        <v/>
      </c>
      <c r="R52" s="17" t="str">
        <f t="shared" si="4"/>
        <v/>
      </c>
      <c r="S52" s="17" t="str">
        <f t="shared" si="5"/>
        <v/>
      </c>
      <c r="T52" s="17" t="str">
        <f t="shared" si="6"/>
        <v/>
      </c>
      <c r="U52" s="18" t="str">
        <f t="shared" si="7"/>
        <v/>
      </c>
      <c r="V52" s="17" t="str">
        <f t="shared" si="8"/>
        <v/>
      </c>
      <c r="W52" s="17" t="str">
        <f t="shared" si="9"/>
        <v/>
      </c>
      <c r="X52" s="17" t="str">
        <f t="shared" si="10"/>
        <v/>
      </c>
      <c r="Y52" s="19" t="str">
        <f t="shared" si="11"/>
        <v/>
      </c>
      <c r="Z52" s="19" t="str">
        <f t="shared" si="12"/>
        <v/>
      </c>
      <c r="AA52" s="17"/>
      <c r="AB52" s="19" t="str">
        <f t="shared" si="13"/>
        <v/>
      </c>
    </row>
    <row r="53" customHeight="1" spans="1:28">
      <c r="A53" s="14"/>
      <c r="B53" s="14"/>
      <c r="C53" s="14"/>
      <c r="D53" s="14"/>
      <c r="E53" s="14"/>
      <c r="F53" s="14"/>
      <c r="G53" s="14"/>
      <c r="H53" s="14"/>
      <c r="I53" s="15"/>
      <c r="J53" s="15"/>
      <c r="K53" s="15"/>
      <c r="L53" s="14"/>
      <c r="M53" s="16"/>
      <c r="N53" s="17" t="str">
        <f t="shared" si="0"/>
        <v>fa-home</v>
      </c>
      <c r="O53" s="17" t="str">
        <f t="shared" si="1"/>
        <v/>
      </c>
      <c r="P53" s="17" t="str">
        <f t="shared" si="2"/>
        <v/>
      </c>
      <c r="Q53" s="17" t="str">
        <f t="shared" si="3"/>
        <v/>
      </c>
      <c r="R53" s="17" t="str">
        <f t="shared" si="4"/>
        <v/>
      </c>
      <c r="S53" s="17" t="str">
        <f t="shared" si="5"/>
        <v/>
      </c>
      <c r="T53" s="17" t="str">
        <f t="shared" si="6"/>
        <v/>
      </c>
      <c r="U53" s="18" t="str">
        <f t="shared" si="7"/>
        <v/>
      </c>
      <c r="V53" s="17" t="str">
        <f t="shared" si="8"/>
        <v/>
      </c>
      <c r="W53" s="17" t="str">
        <f t="shared" si="9"/>
        <v/>
      </c>
      <c r="X53" s="17" t="str">
        <f t="shared" si="10"/>
        <v/>
      </c>
      <c r="Y53" s="19" t="str">
        <f t="shared" si="11"/>
        <v/>
      </c>
      <c r="Z53" s="19" t="str">
        <f t="shared" si="12"/>
        <v/>
      </c>
      <c r="AA53" s="17"/>
      <c r="AB53" s="19" t="str">
        <f t="shared" si="13"/>
        <v/>
      </c>
    </row>
    <row r="54" customHeight="1" spans="1:28">
      <c r="A54" s="14"/>
      <c r="B54" s="14"/>
      <c r="C54" s="14"/>
      <c r="D54" s="14"/>
      <c r="E54" s="14"/>
      <c r="F54" s="14"/>
      <c r="G54" s="14"/>
      <c r="H54" s="14"/>
      <c r="I54" s="15"/>
      <c r="J54" s="15"/>
      <c r="K54" s="15"/>
      <c r="L54" s="14"/>
      <c r="M54" s="16"/>
      <c r="N54" s="17" t="str">
        <f t="shared" si="0"/>
        <v>fa-home</v>
      </c>
      <c r="O54" s="17" t="str">
        <f t="shared" si="1"/>
        <v/>
      </c>
      <c r="P54" s="17" t="str">
        <f t="shared" si="2"/>
        <v/>
      </c>
      <c r="Q54" s="17" t="str">
        <f t="shared" si="3"/>
        <v/>
      </c>
      <c r="R54" s="17" t="str">
        <f t="shared" si="4"/>
        <v/>
      </c>
      <c r="S54" s="17" t="str">
        <f t="shared" si="5"/>
        <v/>
      </c>
      <c r="T54" s="17" t="str">
        <f t="shared" si="6"/>
        <v/>
      </c>
      <c r="U54" s="18" t="str">
        <f t="shared" si="7"/>
        <v/>
      </c>
      <c r="V54" s="17" t="str">
        <f t="shared" si="8"/>
        <v/>
      </c>
      <c r="W54" s="17" t="str">
        <f t="shared" si="9"/>
        <v/>
      </c>
      <c r="X54" s="17" t="str">
        <f t="shared" si="10"/>
        <v/>
      </c>
      <c r="Y54" s="19" t="str">
        <f t="shared" si="11"/>
        <v/>
      </c>
      <c r="Z54" s="19" t="str">
        <f t="shared" si="12"/>
        <v/>
      </c>
      <c r="AA54" s="17"/>
      <c r="AB54" s="19" t="str">
        <f t="shared" si="13"/>
        <v/>
      </c>
    </row>
  </sheetData>
  <mergeCells count="7">
    <mergeCell ref="A1:Q1"/>
    <mergeCell ref="A2:M2"/>
    <mergeCell ref="E2:G2"/>
    <mergeCell ref="H2:J2"/>
    <mergeCell ref="K2:M2"/>
    <mergeCell ref="L2:X2"/>
    <mergeCell ref="N2:AB2"/>
  </mergeCells>
  <conditionalFormatting sqref="A5:A33">
    <cfRule type="containsText" dxfId="0" priority="2" operator="between" text="inactive">
      <formula>NOT(ISERROR(SEARCH("inactive",A5)))</formula>
    </cfRule>
  </conditionalFormatting>
  <dataValidations count="8">
    <dataValidation type="list" allowBlank="1" sqref="A5:A54">
      <formula1>"active,inactive"</formula1>
    </dataValidation>
    <dataValidation type="list" allowBlank="1" sqref="B5:B54">
      <formula1>"🏢 Condo 公寓,🏠 Apartment 单位,🌿 即租即住,🌿 近国际学校,📌 商业旺铺,🌟 海景豪宅,📈 投资优选,🏞️ 花园住宅,🌟 2026全新地标,📈 海外投资优选,🌆 核心地段,🔥 限时优惠,✅ 永久产权,🏅 高回报,🏖️ 度假胜地,🏫 学区优选,🛣️ 交通便利,🔑 即买即住"</formula1>
    </dataValidation>
    <dataValidation type="list" allowBlank="1" sqref="E5:E54">
      <formula1>"Studio,1,2,3,4,5,6"</formula1>
    </dataValidation>
    <dataValidation type="list" allowBlank="1" sqref="F5:F54">
      <formula1>"1,2,3,4,5"</formula1>
    </dataValidation>
    <dataValidation type="list" allowBlank="1" sqref="I5:I54">
      <formula1>"24小时保安,保安亭,无保安"</formula1>
    </dataValidation>
    <dataValidation type="list" allowBlank="1" sqref="J5:J54">
      <formula1>"CCTV监控,无CCTV监控"</formula1>
    </dataValidation>
    <dataValidation type="list" allowBlank="1" sqref="K5:K54">
      <formula1>"等级1门禁,等级2门禁,等级3门禁,等级4门禁,等级5门禁,等级6门禁,无门禁"</formula1>
    </dataValidation>
    <dataValidation type="list" allowBlank="1" sqref="M5:M54">
      <formula1>"已出租 Rented,已售出 Sold,装修中 Renovating,议价空间 Negotiable,业主急售 Urgent,新上市 New Listing,独家代理 Exclusive,联系业主 Contact Owner,看房需预约 By Appt,短租可议 Short Stay"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17346"/>
  </sheetPr>
  <dimension ref="A1:AB54"/>
  <sheetViews>
    <sheetView showGridLines="0" workbookViewId="0">
      <pane ySplit="4" topLeftCell="A5" activePane="bottomLeft" state="frozen"/>
      <selection/>
      <selection pane="bottomLeft" activeCell="A1" sqref="A1:Q1"/>
    </sheetView>
  </sheetViews>
  <sheetFormatPr defaultColWidth="8.67619047619048" defaultRowHeight="15"/>
  <cols>
    <col min="1" max="1" width="10" style="1" customWidth="1"/>
    <col min="2" max="3" width="18" style="1" customWidth="1"/>
    <col min="4" max="4" width="26" style="1" customWidth="1"/>
    <col min="5" max="7" width="10" style="1" customWidth="1"/>
    <col min="8" max="8" width="22" style="1" customWidth="1"/>
    <col min="9" max="11" width="14" style="1" customWidth="1"/>
    <col min="12" max="14" width="12" style="1" customWidth="1"/>
    <col min="15" max="17" width="24" style="1" customWidth="1"/>
    <col min="18" max="21" width="30" style="1" customWidth="1"/>
    <col min="22" max="24" width="20" style="1" customWidth="1"/>
    <col min="25" max="26" width="30" style="1" customWidth="1"/>
    <col min="27" max="27" width="5" style="1" customWidth="1"/>
    <col min="28" max="28" width="30" style="1" customWidth="1"/>
  </cols>
  <sheetData>
    <row r="1" ht="31.5" customHeight="1" spans="1:28">
      <c r="A1" s="2" t="s">
        <v>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</row>
    <row r="2" ht="21.75" customHeight="1" spans="1:28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36" customHeight="1" spans="1:28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 t="s">
        <v>54</v>
      </c>
      <c r="I3" s="6" t="s">
        <v>55</v>
      </c>
      <c r="J3" s="7" t="s">
        <v>56</v>
      </c>
      <c r="K3" s="6" t="s">
        <v>57</v>
      </c>
      <c r="L3" s="5" t="s">
        <v>58</v>
      </c>
      <c r="M3" s="8" t="s">
        <v>59</v>
      </c>
      <c r="N3" s="9" t="s">
        <v>60</v>
      </c>
      <c r="O3" s="10" t="s">
        <v>61</v>
      </c>
      <c r="P3" s="9" t="s">
        <v>62</v>
      </c>
      <c r="Q3" s="9" t="s">
        <v>63</v>
      </c>
      <c r="R3" s="10" t="s">
        <v>64</v>
      </c>
      <c r="S3" s="9" t="s">
        <v>65</v>
      </c>
      <c r="T3" s="9" t="s">
        <v>66</v>
      </c>
      <c r="U3" s="10" t="s">
        <v>67</v>
      </c>
      <c r="V3" s="10" t="s">
        <v>68</v>
      </c>
      <c r="W3" s="9" t="s">
        <v>69</v>
      </c>
      <c r="X3" s="9" t="s">
        <v>70</v>
      </c>
      <c r="Y3" s="11" t="s">
        <v>71</v>
      </c>
      <c r="Z3" s="11" t="s">
        <v>72</v>
      </c>
      <c r="AA3" s="9" t="s">
        <v>73</v>
      </c>
      <c r="AB3" s="11" t="s">
        <v>74</v>
      </c>
    </row>
    <row r="4" ht="18" customHeight="1" spans="1:28">
      <c r="A4" s="12" t="s">
        <v>75</v>
      </c>
      <c r="B4" s="12" t="s">
        <v>76</v>
      </c>
      <c r="C4" s="12" t="s">
        <v>77</v>
      </c>
      <c r="D4" s="13" t="s">
        <v>78</v>
      </c>
      <c r="E4" s="12" t="s">
        <v>79</v>
      </c>
      <c r="F4" s="12" t="s">
        <v>80</v>
      </c>
      <c r="G4" s="12" t="s">
        <v>81</v>
      </c>
      <c r="H4" s="13" t="s">
        <v>82</v>
      </c>
      <c r="I4" s="12" t="s">
        <v>83</v>
      </c>
      <c r="J4" s="12" t="s">
        <v>84</v>
      </c>
      <c r="K4" s="13" t="s">
        <v>85</v>
      </c>
      <c r="L4" s="12" t="s">
        <v>86</v>
      </c>
      <c r="M4" s="13" t="s">
        <v>87</v>
      </c>
    </row>
    <row r="5" ht="51.75" customHeight="1" spans="1:28">
      <c r="A5" s="14"/>
      <c r="B5" s="14"/>
      <c r="C5" s="14"/>
      <c r="D5" s="14"/>
      <c r="E5" s="14"/>
      <c r="F5" s="14"/>
      <c r="G5" s="14"/>
      <c r="H5" s="14"/>
      <c r="I5" s="15"/>
      <c r="J5" s="15"/>
      <c r="K5" s="15"/>
      <c r="L5" s="14"/>
      <c r="M5" s="16"/>
      <c r="N5" s="17" t="str">
        <f t="shared" ref="N5:N54" si="0">IFERROR(_xlfn.IFS(B5="🏢 Condo 公寓","fa-building",B5="🏠 Apartment 单位","fa-home",B5="🌿 即租即住","fa-home",B5="🌿 近国际学校","fa-school",B5="📌 商业旺铺","fa-store",B5="🌟 海景豪宅","fa-water-ladder",B5="📈 投资优选","fa-chart-line",B5="🏞️ 花园住宅","fa-tree",B5="🌟 2026全新地标","fa-drafting-compass",B5="📈 海外投资优选","fa-globe",B5="🌆 核心地段","fa-city",B5="🔥 限时优惠","fa-fire",B5="✅ 永久产权","fa-certificate",B5="🏅 高回报","fa-medal",B5="🏖️ 度假胜地","fa-umbrella-beach",B5="🏫 学区优选","fa-graduation-cap",B5="🛣️ 交通便利","fa-road",B5="🔑 即买即住","fa-key"),"fa-home")</f>
        <v>fa-home</v>
      </c>
      <c r="O5" s="17" t="str">
        <f t="shared" ref="O5:O54" si="1">IF(D5&lt;&gt;"",D5,"")</f>
        <v/>
      </c>
      <c r="P5" s="17" t="str">
        <f t="shared" ref="P5:P54" si="2">IF(D5&lt;&gt;"",SUBSTITUTE(SUBSTITUTE(SUBSTITUTE(SUBSTITUTE(SUBSTITUTE(SUBSTITUTE(SUBSTITUTE(SUBSTITUTE(SUBSTITUTE(SUBSTITUTE(D5,"亚庇","Kota Kinabalu"),"公寓","Condo"),"排屋","Terrace"),"别墅","Villa"),"店铺","Shop"),"新山","Johor Bahru"),"市中心","City Centre"),"高级","Premium"),"单位","Unit"),"住宅","Residence"),"")</f>
        <v/>
      </c>
      <c r="Q5" s="17" t="str">
        <f t="shared" ref="Q5:Q54" si="3">IF(D5&lt;&gt;"",SUBSTITUTE(SUBSTITUTE(SUBSTITUTE(SUBSTITUTE(SUBSTITUTE(SUBSTITUTE(SUBSTITUTE(SUBSTITUTE(SUBSTITUTE(SUBSTITUTE(D5,"亚庇","Kota Kinabalu"),"公寓","Kondominium"),"排屋","Rumah Teres"),"别墅","Vila"),"店铺","Kedai"),"新山","Johor Bahru"),"市中心","Pusat Bandar"),"高级","Premium"),"单位","Unit"),"住宅","Kediaman"),"")</f>
        <v/>
      </c>
      <c r="R5" s="17" t="str">
        <f t="shared" ref="R5:R54" si="4">IF(D5&lt;&gt;"","📍 "&amp;IF(E5&lt;&gt;"",E5&amp;"房","")&amp;IF(F5&lt;&gt;"",F5&amp;"卫 ","")&amp;IF(G5&lt;&gt;"",G5&amp;" sqft","")&amp;IF(AND(OR(E5&lt;&gt;"",G5&lt;&gt;""),H5&lt;&gt;"")," · ","")&amp;IF(H5&lt;&gt;"",H5,""),"")</f>
        <v/>
      </c>
      <c r="S5" s="17" t="str">
        <f t="shared" ref="S5:S54" si="5">IF(D5&lt;&gt;"","📍 "&amp;IF(E5&lt;&gt;"",E5&amp;"BR ","")&amp;IF(F5&lt;&gt;"",F5&amp;"BA ","")&amp;IF(G5&lt;&gt;"",G5&amp;" sqft","")&amp;IF(AND(OR(E5&lt;&gt;"",G5&lt;&gt;""),H5&lt;&gt;"")," · ","")&amp;IF(H5&lt;&gt;"",SUBSTITUTE(SUBSTITUTE(SUBSTITUTE(SUBSTITUTE(SUBSTITUTE(SUBSTITUTE(SUBSTITUTE(SUBSTITUTE(SUBSTITUTE(SUBSTITUTE(H5,"游泳池","Swimming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" s="17" t="str">
        <f t="shared" ref="T5:T54" si="6">IF(D5&lt;&gt;"","📍 "&amp;IF(E5&lt;&gt;"",E5&amp;"Bilik ","")&amp;IF(F5&lt;&gt;"",F5&amp;"Bilik Air ","")&amp;IF(G5&lt;&gt;"",G5&amp;" sqft","")&amp;IF(AND(OR(E5&lt;&gt;"",G5&lt;&gt;""),H5&lt;&gt;"")," · ","")&amp;IF(H5&lt;&gt;"",SUBSTITUTE(SUBSTITUTE(SUBSTITUTE(SUBSTITUTE(SUBSTITUTE(SUBSTITUTE(SUBSTITUTE(SUBSTITUTE(SUBSTITUTE(SUBSTITUTE(H5,"游泳池","Kolam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" s="18" t="str">
        <f t="shared" ref="U5:U54" si="7">IF(OR(I5&lt;&gt;"",J5&lt;&gt;"",K5&lt;&gt;""),"🔒 "&amp;IF(I5&lt;&gt;"",I5,"")&amp;IF(AND(I5&lt;&gt;"",J5&lt;&gt;"")," · ","")&amp;IF(J5&lt;&gt;"",J5,"")&amp;IF(AND(OR(I5&lt;&gt;"",J5&lt;&gt;""),K5&lt;&gt;"")," · ","")&amp;IF(K5&lt;&gt;"",K5,""),"")</f>
        <v/>
      </c>
      <c r="V5" s="17" t="str">
        <f t="shared" ref="V5:V54" si="8">IF(L5&lt;&gt;"","💰 售价 RM "&amp;TEXT(L5,"#,##0"),"")</f>
        <v/>
      </c>
      <c r="W5" s="17" t="str">
        <f t="shared" ref="W5:W54" si="9">IF(L5&lt;&gt;"","💰 Selling Price RM "&amp;TEXT(L5,"#,##0"),"")</f>
        <v/>
      </c>
      <c r="X5" s="17" t="str">
        <f t="shared" ref="X5:X54" si="10">IF(L5&lt;&gt;"","💰 Harga Jualan RM "&amp;TEXT(L5,"#,##0"),"")</f>
        <v/>
      </c>
      <c r="Y5" s="19" t="str">
        <f t="shared" ref="Y5:Y54" si="11">IF(D5&lt;&gt;"","您好！我想咨询购买：
🏠 "&amp;D5&amp;"
"&amp;IF(E5&lt;&gt;"","🛏 "&amp;E5&amp;"房"&amp;IF(F5&lt;&gt;""," "&amp;F5&amp;"卫","")&amp;"
","")&amp;IF(G5&lt;&gt;"","📐 "&amp;G5&amp;" sqft
","")&amp;IF(H5&lt;&gt;"","🏊 "&amp;H5&amp;"
","")&amp;IF(U5&lt;&gt;"",U5&amp;"
","")&amp;IF(L5&lt;&gt;"","💰 售价 RM "&amp;TEXT(L5,"#,##0")&amp;"
","")&amp;"
请问还有空档吗？谢谢！","")</f>
        <v/>
      </c>
      <c r="Z5" s="19" t="str">
        <f t="shared" ref="Z5:Z54" si="12">IF(D5&lt;&gt;"","Hi! I'd like to make a purchase enquiry:
🏠 "&amp;P5&amp;"
"&amp;IF(E5&lt;&gt;"","🛏 "&amp;E5&amp;"BR"&amp;IF(F5&lt;&gt;""," "&amp;F5&amp;"BA","")&amp;"
","")&amp;IF(G5&lt;&gt;"","📐 "&amp;G5&amp;" sqft
","")&amp;IF(H5&lt;&gt;"","🏊 "&amp;SUBSTITUTE(SUBSTITUTE(SUBSTITUTE(SUBSTITUTE(SUBSTITUTE(SUBSTITUTE(SUBSTITUTE(SUBSTITUTE(SUBSTITUTE(SUBSTITUTE(H5,"游泳池","Swimming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","")&amp;IF(IF(OR(I5&lt;&gt;"",J5&lt;&gt;"",K5&lt;&gt;""),"🔒 "&amp;IF(I5&lt;&gt;"",SUBSTITUTE(SUBSTITUTE(SUBSTITUTE(SUBSTITUTE(SUBSTITUTE(SUBSTITUTE(SUBSTITUTE(SUBSTITUTE(SUBSTITUTE(SUBSTITUTE(SUBSTITUTE(SUBSTITUTE(I5,"24小时保安","24hr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Control"),"")&amp;IF(AND(I5&lt;&gt;"",OR(J5&lt;&gt;"",K5&lt;&gt;""))," · ","")&amp;IF(J5&lt;&gt;"",SUBSTITUTE(SUBSTITUTE(SUBSTITUTE(SUBSTITUTE(SUBSTITUTE(SUBSTITUTE(SUBSTITUTE(SUBSTITUTE(SUBSTITUTE(SUBSTITUTE(SUBSTITUTE(SUBSTITUTE(J5,"24小时保安","24hr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Control"),"")&amp;IF(AND(J5&lt;&gt;"",K5&lt;&gt;"")," · ","")&amp;IF(K5&lt;&gt;"",SUBSTITUTE(SUBSTITUTE(SUBSTITUTE(SUBSTITUTE(SUBSTITUTE(SUBSTITUTE(SUBSTITUTE(SUBSTITUTE(SUBSTITUTE(SUBSTITUTE(SUBSTITUTE(SUBSTITUTE(K5,"24小时保安","24hr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Control"),""),"")&lt;&gt;"",IF(OR(I5&lt;&gt;"",J5&lt;&gt;"",K5&lt;&gt;""),"🔒 "&amp;IF(I5&lt;&gt;"",SUBSTITUTE(SUBSTITUTE(SUBSTITUTE(SUBSTITUTE(SUBSTITUTE(SUBSTITUTE(SUBSTITUTE(SUBSTITUTE(SUBSTITUTE(SUBSTITUTE(SUBSTITUTE(SUBSTITUTE(I5,"24小时保安","24hr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Control"),"")&amp;IF(AND(I5&lt;&gt;"",OR(J5&lt;&gt;"",K5&lt;&gt;""))," · ","")&amp;IF(J5&lt;&gt;"",SUBSTITUTE(SUBSTITUTE(SUBSTITUTE(SUBSTITUTE(SUBSTITUTE(SUBSTITUTE(SUBSTITUTE(SUBSTITUTE(SUBSTITUTE(SUBSTITUTE(SUBSTITUTE(SUBSTITUTE(J5,"24小时保安","24hr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Control"),"")&amp;IF(AND(J5&lt;&gt;"",K5&lt;&gt;"")," · ","")&amp;IF(K5&lt;&gt;"",SUBSTITUTE(SUBSTITUTE(SUBSTITUTE(SUBSTITUTE(SUBSTITUTE(SUBSTITUTE(SUBSTITUTE(SUBSTITUTE(SUBSTITUTE(SUBSTITUTE(SUBSTITUTE(SUBSTITUTE(K5,"24小时保安","24hr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","")&amp;IF(L5&lt;&gt;"","💰 Selling Price RM "&amp;TEXT(L5,"#,##0")&amp;"
","")&amp;"
Is this still available? Thank you!","")</f>
        <v/>
      </c>
      <c r="AA5" s="17"/>
      <c r="AB5" s="19" t="str">
        <f t="shared" ref="AB5:AB54" si="13">IF(D5&lt;&gt;"","Helo! Saya ingin membuat pertanyaan pembelian:
🏠 "&amp;Q5&amp;"
"&amp;IF(E5&lt;&gt;"","🛏 "&amp;E5&amp;"Bilik"&amp;IF(F5&lt;&gt;""," "&amp;F5&amp;"Bilik Air","")&amp;"
","")&amp;IF(G5&lt;&gt;"","📐 "&amp;G5&amp;" sqft
","")&amp;IF(H5&lt;&gt;"","🏊 "&amp;SUBSTITUTE(SUBSTITUTE(SUBSTITUTE(SUBSTITUTE(SUBSTITUTE(SUBSTITUTE(SUBSTITUTE(SUBSTITUTE(SUBSTITUTE(SUBSTITUTE(H5,"游泳池","Kolam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","")&amp;IF(IF(OR(I5&lt;&gt;"",J5&lt;&gt;"",K5&lt;&gt;""),"🔒 "&amp;IF(I5&lt;&gt;"",SUBSTITUTE(SUBSTITUTE(SUBSTITUTE(SUBSTITUTE(SUBSTITUTE(SUBSTITUTE(SUBSTITUTE(SUBSTITUTE(SUBSTITUTE(SUBSTITUTE(SUBSTITUTE(SUBSTITUTE(I5,"24小时保安","Pengawal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Kawalan"),"")&amp;IF(AND(I5&lt;&gt;"",OR(J5&lt;&gt;"",K5&lt;&gt;""))," · ","")&amp;IF(J5&lt;&gt;"",SUBSTITUTE(SUBSTITUTE(SUBSTITUTE(SUBSTITUTE(SUBSTITUTE(SUBSTITUTE(SUBSTITUTE(SUBSTITUTE(SUBSTITUTE(SUBSTITUTE(SUBSTITUTE(SUBSTITUTE(J5,"24小时保安","Pengawal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Kawalan"),"")&amp;IF(AND(J5&lt;&gt;"",K5&lt;&gt;"")," · ","")&amp;IF(K5&lt;&gt;"",SUBSTITUTE(SUBSTITUTE(SUBSTITUTE(SUBSTITUTE(SUBSTITUTE(SUBSTITUTE(SUBSTITUTE(SUBSTITUTE(SUBSTITUTE(SUBSTITUTE(SUBSTITUTE(SUBSTITUTE(K5,"24小时保安","Pengawal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Kawalan"),""),"")&lt;&gt;"",IF(OR(I5&lt;&gt;"",J5&lt;&gt;"",K5&lt;&gt;""),"🔒 "&amp;IF(I5&lt;&gt;"",SUBSTITUTE(SUBSTITUTE(SUBSTITUTE(SUBSTITUTE(SUBSTITUTE(SUBSTITUTE(SUBSTITUTE(SUBSTITUTE(SUBSTITUTE(SUBSTITUTE(SUBSTITUTE(SUBSTITUTE(I5,"24小时保安","Pengawal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Kawalan"),"")&amp;IF(AND(I5&lt;&gt;"",OR(J5&lt;&gt;"",K5&lt;&gt;""))," · ","")&amp;IF(J5&lt;&gt;"",SUBSTITUTE(SUBSTITUTE(SUBSTITUTE(SUBSTITUTE(SUBSTITUTE(SUBSTITUTE(SUBSTITUTE(SUBSTITUTE(SUBSTITUTE(SUBSTITUTE(SUBSTITUTE(SUBSTITUTE(J5,"24小时保安","Pengawal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Kawalan"),"")&amp;IF(AND(J5&lt;&gt;"",K5&lt;&gt;"")," · ","")&amp;IF(K5&lt;&gt;"",SUBSTITUTE(SUBSTITUTE(SUBSTITUTE(SUBSTITUTE(SUBSTITUTE(SUBSTITUTE(SUBSTITUTE(SUBSTITUTE(SUBSTITUTE(SUBSTITUTE(SUBSTITUTE(SUBSTITUTE(K5,"24小时保安","Pengawal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","")&amp;IF(L5&lt;&gt;"","💰 Harga Jualan RM "&amp;TEXT(L5,"#,##0")&amp;"
","")&amp;"
Adakah masih tersedia? Terima kasih!","")</f>
        <v/>
      </c>
    </row>
    <row r="6" ht="51.75" customHeight="1" spans="1:28">
      <c r="A6" s="14"/>
      <c r="B6" s="14"/>
      <c r="C6" s="14"/>
      <c r="D6" s="14"/>
      <c r="E6" s="14"/>
      <c r="F6" s="14"/>
      <c r="G6" s="14"/>
      <c r="H6" s="14"/>
      <c r="I6" s="15"/>
      <c r="J6" s="15"/>
      <c r="K6" s="15"/>
      <c r="L6" s="14"/>
      <c r="M6" s="16"/>
      <c r="N6" s="17" t="str">
        <f t="shared" si="0"/>
        <v>fa-home</v>
      </c>
      <c r="O6" s="17" t="str">
        <f t="shared" si="1"/>
        <v/>
      </c>
      <c r="P6" s="17" t="str">
        <f t="shared" si="2"/>
        <v/>
      </c>
      <c r="Q6" s="17" t="str">
        <f t="shared" si="3"/>
        <v/>
      </c>
      <c r="R6" s="17" t="str">
        <f t="shared" si="4"/>
        <v/>
      </c>
      <c r="S6" s="17" t="str">
        <f t="shared" si="5"/>
        <v/>
      </c>
      <c r="T6" s="17" t="str">
        <f t="shared" si="6"/>
        <v/>
      </c>
      <c r="U6" s="18" t="str">
        <f t="shared" si="7"/>
        <v/>
      </c>
      <c r="V6" s="17" t="str">
        <f t="shared" si="8"/>
        <v/>
      </c>
      <c r="W6" s="17" t="str">
        <f t="shared" si="9"/>
        <v/>
      </c>
      <c r="X6" s="17" t="str">
        <f t="shared" si="10"/>
        <v/>
      </c>
      <c r="Y6" s="19" t="str">
        <f t="shared" si="11"/>
        <v/>
      </c>
      <c r="Z6" s="19" t="str">
        <f t="shared" si="12"/>
        <v/>
      </c>
      <c r="AA6" s="17"/>
      <c r="AB6" s="19" t="str">
        <f t="shared" si="13"/>
        <v/>
      </c>
    </row>
    <row r="7" ht="51.75" customHeight="1" spans="1:28">
      <c r="A7" s="14"/>
      <c r="B7" s="14"/>
      <c r="C7" s="14"/>
      <c r="D7" s="14"/>
      <c r="E7" s="14"/>
      <c r="F7" s="14"/>
      <c r="G7" s="14"/>
      <c r="H7" s="14"/>
      <c r="I7" s="15"/>
      <c r="J7" s="15"/>
      <c r="K7" s="15"/>
      <c r="L7" s="14"/>
      <c r="M7" s="16"/>
      <c r="N7" s="17" t="str">
        <f t="shared" si="0"/>
        <v>fa-home</v>
      </c>
      <c r="O7" s="17" t="str">
        <f t="shared" si="1"/>
        <v/>
      </c>
      <c r="P7" s="17" t="str">
        <f t="shared" si="2"/>
        <v/>
      </c>
      <c r="Q7" s="17" t="str">
        <f t="shared" si="3"/>
        <v/>
      </c>
      <c r="R7" s="17" t="str">
        <f t="shared" si="4"/>
        <v/>
      </c>
      <c r="S7" s="17" t="str">
        <f t="shared" si="5"/>
        <v/>
      </c>
      <c r="T7" s="17" t="str">
        <f t="shared" si="6"/>
        <v/>
      </c>
      <c r="U7" s="18" t="str">
        <f t="shared" si="7"/>
        <v/>
      </c>
      <c r="V7" s="17" t="str">
        <f t="shared" si="8"/>
        <v/>
      </c>
      <c r="W7" s="17" t="str">
        <f t="shared" si="9"/>
        <v/>
      </c>
      <c r="X7" s="17" t="str">
        <f t="shared" si="10"/>
        <v/>
      </c>
      <c r="Y7" s="19" t="str">
        <f t="shared" si="11"/>
        <v/>
      </c>
      <c r="Z7" s="19" t="str">
        <f t="shared" si="12"/>
        <v/>
      </c>
      <c r="AA7" s="17"/>
      <c r="AB7" s="19" t="str">
        <f t="shared" si="13"/>
        <v/>
      </c>
    </row>
    <row r="8" ht="51.75" customHeight="1" spans="1:28">
      <c r="A8" s="14"/>
      <c r="B8" s="14"/>
      <c r="C8" s="14"/>
      <c r="D8" s="14"/>
      <c r="E8" s="14"/>
      <c r="F8" s="14"/>
      <c r="G8" s="14"/>
      <c r="H8" s="14"/>
      <c r="I8" s="15"/>
      <c r="J8" s="15"/>
      <c r="K8" s="15"/>
      <c r="L8" s="14"/>
      <c r="M8" s="16"/>
      <c r="N8" s="17" t="str">
        <f t="shared" si="0"/>
        <v>fa-home</v>
      </c>
      <c r="O8" s="17" t="str">
        <f t="shared" si="1"/>
        <v/>
      </c>
      <c r="P8" s="17" t="str">
        <f t="shared" si="2"/>
        <v/>
      </c>
      <c r="Q8" s="17" t="str">
        <f t="shared" si="3"/>
        <v/>
      </c>
      <c r="R8" s="17" t="str">
        <f t="shared" si="4"/>
        <v/>
      </c>
      <c r="S8" s="17" t="str">
        <f t="shared" si="5"/>
        <v/>
      </c>
      <c r="T8" s="17" t="str">
        <f t="shared" si="6"/>
        <v/>
      </c>
      <c r="U8" s="18" t="str">
        <f t="shared" si="7"/>
        <v/>
      </c>
      <c r="V8" s="17" t="str">
        <f t="shared" si="8"/>
        <v/>
      </c>
      <c r="W8" s="17" t="str">
        <f t="shared" si="9"/>
        <v/>
      </c>
      <c r="X8" s="17" t="str">
        <f t="shared" si="10"/>
        <v/>
      </c>
      <c r="Y8" s="19" t="str">
        <f t="shared" si="11"/>
        <v/>
      </c>
      <c r="Z8" s="19" t="str">
        <f t="shared" si="12"/>
        <v/>
      </c>
      <c r="AA8" s="17"/>
      <c r="AB8" s="19" t="str">
        <f t="shared" si="13"/>
        <v/>
      </c>
    </row>
    <row r="9" ht="51.75" customHeight="1" spans="1:28">
      <c r="A9" s="14"/>
      <c r="B9" s="14"/>
      <c r="C9" s="14"/>
      <c r="D9" s="14"/>
      <c r="E9" s="14"/>
      <c r="F9" s="14"/>
      <c r="G9" s="14"/>
      <c r="H9" s="14"/>
      <c r="I9" s="15"/>
      <c r="J9" s="15"/>
      <c r="K9" s="15"/>
      <c r="L9" s="14"/>
      <c r="M9" s="16"/>
      <c r="N9" s="17" t="str">
        <f t="shared" si="0"/>
        <v>fa-home</v>
      </c>
      <c r="O9" s="17" t="str">
        <f t="shared" si="1"/>
        <v/>
      </c>
      <c r="P9" s="17" t="str">
        <f t="shared" si="2"/>
        <v/>
      </c>
      <c r="Q9" s="17" t="str">
        <f t="shared" si="3"/>
        <v/>
      </c>
      <c r="R9" s="17" t="str">
        <f t="shared" si="4"/>
        <v/>
      </c>
      <c r="S9" s="17" t="str">
        <f t="shared" si="5"/>
        <v/>
      </c>
      <c r="T9" s="17" t="str">
        <f t="shared" si="6"/>
        <v/>
      </c>
      <c r="U9" s="18" t="str">
        <f t="shared" si="7"/>
        <v/>
      </c>
      <c r="V9" s="17" t="str">
        <f t="shared" si="8"/>
        <v/>
      </c>
      <c r="W9" s="17" t="str">
        <f t="shared" si="9"/>
        <v/>
      </c>
      <c r="X9" s="17" t="str">
        <f t="shared" si="10"/>
        <v/>
      </c>
      <c r="Y9" s="19" t="str">
        <f t="shared" si="11"/>
        <v/>
      </c>
      <c r="Z9" s="19" t="str">
        <f t="shared" si="12"/>
        <v/>
      </c>
      <c r="AA9" s="17"/>
      <c r="AB9" s="19" t="str">
        <f t="shared" si="13"/>
        <v/>
      </c>
    </row>
    <row r="10" ht="51.75" customHeight="1" spans="1:28">
      <c r="A10" s="14"/>
      <c r="B10" s="14"/>
      <c r="C10" s="14"/>
      <c r="D10" s="14"/>
      <c r="E10" s="14"/>
      <c r="F10" s="14"/>
      <c r="G10" s="14"/>
      <c r="H10" s="14"/>
      <c r="I10" s="15"/>
      <c r="J10" s="15"/>
      <c r="K10" s="15"/>
      <c r="L10" s="14"/>
      <c r="M10" s="16"/>
      <c r="N10" s="17" t="str">
        <f t="shared" si="0"/>
        <v>fa-home</v>
      </c>
      <c r="O10" s="17" t="str">
        <f t="shared" si="1"/>
        <v/>
      </c>
      <c r="P10" s="17" t="str">
        <f t="shared" si="2"/>
        <v/>
      </c>
      <c r="Q10" s="17" t="str">
        <f t="shared" si="3"/>
        <v/>
      </c>
      <c r="R10" s="17" t="str">
        <f t="shared" si="4"/>
        <v/>
      </c>
      <c r="S10" s="17" t="str">
        <f t="shared" si="5"/>
        <v/>
      </c>
      <c r="T10" s="17" t="str">
        <f t="shared" si="6"/>
        <v/>
      </c>
      <c r="U10" s="18" t="str">
        <f t="shared" si="7"/>
        <v/>
      </c>
      <c r="V10" s="17" t="str">
        <f t="shared" si="8"/>
        <v/>
      </c>
      <c r="W10" s="17" t="str">
        <f t="shared" si="9"/>
        <v/>
      </c>
      <c r="X10" s="17" t="str">
        <f t="shared" si="10"/>
        <v/>
      </c>
      <c r="Y10" s="19" t="str">
        <f t="shared" si="11"/>
        <v/>
      </c>
      <c r="Z10" s="19" t="str">
        <f t="shared" si="12"/>
        <v/>
      </c>
      <c r="AA10" s="17"/>
      <c r="AB10" s="19" t="str">
        <f t="shared" si="13"/>
        <v/>
      </c>
    </row>
    <row r="11" ht="51.75" customHeight="1" spans="1:28">
      <c r="A11" s="14"/>
      <c r="B11" s="14"/>
      <c r="C11" s="14"/>
      <c r="D11" s="14"/>
      <c r="E11" s="14"/>
      <c r="F11" s="14"/>
      <c r="G11" s="14"/>
      <c r="H11" s="14"/>
      <c r="I11" s="15"/>
      <c r="J11" s="15"/>
      <c r="K11" s="15"/>
      <c r="L11" s="14"/>
      <c r="M11" s="16"/>
      <c r="N11" s="17" t="str">
        <f t="shared" si="0"/>
        <v>fa-home</v>
      </c>
      <c r="O11" s="17" t="str">
        <f t="shared" si="1"/>
        <v/>
      </c>
      <c r="P11" s="17" t="str">
        <f t="shared" si="2"/>
        <v/>
      </c>
      <c r="Q11" s="17" t="str">
        <f t="shared" si="3"/>
        <v/>
      </c>
      <c r="R11" s="17" t="str">
        <f t="shared" si="4"/>
        <v/>
      </c>
      <c r="S11" s="17" t="str">
        <f t="shared" si="5"/>
        <v/>
      </c>
      <c r="T11" s="17" t="str">
        <f t="shared" si="6"/>
        <v/>
      </c>
      <c r="U11" s="18" t="str">
        <f t="shared" si="7"/>
        <v/>
      </c>
      <c r="V11" s="17" t="str">
        <f t="shared" si="8"/>
        <v/>
      </c>
      <c r="W11" s="17" t="str">
        <f t="shared" si="9"/>
        <v/>
      </c>
      <c r="X11" s="17" t="str">
        <f t="shared" si="10"/>
        <v/>
      </c>
      <c r="Y11" s="19" t="str">
        <f t="shared" si="11"/>
        <v/>
      </c>
      <c r="Z11" s="19" t="str">
        <f t="shared" si="12"/>
        <v/>
      </c>
      <c r="AA11" s="17"/>
      <c r="AB11" s="19" t="str">
        <f t="shared" si="13"/>
        <v/>
      </c>
    </row>
    <row r="12" ht="51.75" customHeight="1" spans="1:28">
      <c r="A12" s="14"/>
      <c r="B12" s="14"/>
      <c r="C12" s="14"/>
      <c r="D12" s="14"/>
      <c r="E12" s="14"/>
      <c r="F12" s="14"/>
      <c r="G12" s="14"/>
      <c r="H12" s="14"/>
      <c r="I12" s="15"/>
      <c r="J12" s="15"/>
      <c r="K12" s="15"/>
      <c r="L12" s="14"/>
      <c r="M12" s="16"/>
      <c r="N12" s="17" t="str">
        <f t="shared" si="0"/>
        <v>fa-home</v>
      </c>
      <c r="O12" s="17" t="str">
        <f t="shared" si="1"/>
        <v/>
      </c>
      <c r="P12" s="17" t="str">
        <f t="shared" si="2"/>
        <v/>
      </c>
      <c r="Q12" s="17" t="str">
        <f t="shared" si="3"/>
        <v/>
      </c>
      <c r="R12" s="17" t="str">
        <f t="shared" si="4"/>
        <v/>
      </c>
      <c r="S12" s="17" t="str">
        <f t="shared" si="5"/>
        <v/>
      </c>
      <c r="T12" s="17" t="str">
        <f t="shared" si="6"/>
        <v/>
      </c>
      <c r="U12" s="18" t="str">
        <f t="shared" si="7"/>
        <v/>
      </c>
      <c r="V12" s="17" t="str">
        <f t="shared" si="8"/>
        <v/>
      </c>
      <c r="W12" s="17" t="str">
        <f t="shared" si="9"/>
        <v/>
      </c>
      <c r="X12" s="17" t="str">
        <f t="shared" si="10"/>
        <v/>
      </c>
      <c r="Y12" s="19" t="str">
        <f t="shared" si="11"/>
        <v/>
      </c>
      <c r="Z12" s="19" t="str">
        <f t="shared" si="12"/>
        <v/>
      </c>
      <c r="AA12" s="17"/>
      <c r="AB12" s="19" t="str">
        <f t="shared" si="13"/>
        <v/>
      </c>
    </row>
    <row r="13" ht="51.75" customHeight="1" spans="1:28">
      <c r="A13" s="14"/>
      <c r="B13" s="14"/>
      <c r="C13" s="14"/>
      <c r="D13" s="14"/>
      <c r="E13" s="14"/>
      <c r="F13" s="14"/>
      <c r="G13" s="14"/>
      <c r="H13" s="14"/>
      <c r="I13" s="15"/>
      <c r="J13" s="15"/>
      <c r="K13" s="15"/>
      <c r="L13" s="14"/>
      <c r="M13" s="16"/>
      <c r="N13" s="17" t="str">
        <f t="shared" si="0"/>
        <v>fa-home</v>
      </c>
      <c r="O13" s="17" t="str">
        <f t="shared" si="1"/>
        <v/>
      </c>
      <c r="P13" s="17" t="str">
        <f t="shared" si="2"/>
        <v/>
      </c>
      <c r="Q13" s="17" t="str">
        <f t="shared" si="3"/>
        <v/>
      </c>
      <c r="R13" s="17" t="str">
        <f t="shared" si="4"/>
        <v/>
      </c>
      <c r="S13" s="17" t="str">
        <f t="shared" si="5"/>
        <v/>
      </c>
      <c r="T13" s="17" t="str">
        <f t="shared" si="6"/>
        <v/>
      </c>
      <c r="U13" s="18" t="str">
        <f t="shared" si="7"/>
        <v/>
      </c>
      <c r="V13" s="17" t="str">
        <f t="shared" si="8"/>
        <v/>
      </c>
      <c r="W13" s="17" t="str">
        <f t="shared" si="9"/>
        <v/>
      </c>
      <c r="X13" s="17" t="str">
        <f t="shared" si="10"/>
        <v/>
      </c>
      <c r="Y13" s="19" t="str">
        <f t="shared" si="11"/>
        <v/>
      </c>
      <c r="Z13" s="19" t="str">
        <f t="shared" si="12"/>
        <v/>
      </c>
      <c r="AA13" s="17"/>
      <c r="AB13" s="19" t="str">
        <f t="shared" si="13"/>
        <v/>
      </c>
    </row>
    <row r="14" ht="51.75" customHeight="1" spans="1:28">
      <c r="A14" s="14"/>
      <c r="B14" s="14"/>
      <c r="C14" s="14"/>
      <c r="D14" s="14"/>
      <c r="E14" s="14"/>
      <c r="F14" s="14"/>
      <c r="G14" s="14"/>
      <c r="H14" s="14"/>
      <c r="I14" s="15"/>
      <c r="J14" s="15"/>
      <c r="K14" s="15"/>
      <c r="L14" s="14"/>
      <c r="M14" s="16"/>
      <c r="N14" s="17" t="str">
        <f t="shared" si="0"/>
        <v>fa-home</v>
      </c>
      <c r="O14" s="17" t="str">
        <f t="shared" si="1"/>
        <v/>
      </c>
      <c r="P14" s="17" t="str">
        <f t="shared" si="2"/>
        <v/>
      </c>
      <c r="Q14" s="17" t="str">
        <f t="shared" si="3"/>
        <v/>
      </c>
      <c r="R14" s="17" t="str">
        <f t="shared" si="4"/>
        <v/>
      </c>
      <c r="S14" s="17" t="str">
        <f t="shared" si="5"/>
        <v/>
      </c>
      <c r="T14" s="17" t="str">
        <f t="shared" si="6"/>
        <v/>
      </c>
      <c r="U14" s="18" t="str">
        <f t="shared" si="7"/>
        <v/>
      </c>
      <c r="V14" s="17" t="str">
        <f t="shared" si="8"/>
        <v/>
      </c>
      <c r="W14" s="17" t="str">
        <f t="shared" si="9"/>
        <v/>
      </c>
      <c r="X14" s="17" t="str">
        <f t="shared" si="10"/>
        <v/>
      </c>
      <c r="Y14" s="19" t="str">
        <f t="shared" si="11"/>
        <v/>
      </c>
      <c r="Z14" s="19" t="str">
        <f t="shared" si="12"/>
        <v/>
      </c>
      <c r="AA14" s="17"/>
      <c r="AB14" s="19" t="str">
        <f t="shared" si="13"/>
        <v/>
      </c>
    </row>
    <row r="15" ht="51.75" customHeight="1" spans="1:28">
      <c r="A15" s="14"/>
      <c r="B15" s="14"/>
      <c r="C15" s="14"/>
      <c r="D15" s="14"/>
      <c r="E15" s="14"/>
      <c r="F15" s="14"/>
      <c r="G15" s="14"/>
      <c r="H15" s="14"/>
      <c r="I15" s="15"/>
      <c r="J15" s="15"/>
      <c r="K15" s="15"/>
      <c r="L15" s="14"/>
      <c r="M15" s="16"/>
      <c r="N15" s="17" t="str">
        <f t="shared" si="0"/>
        <v>fa-home</v>
      </c>
      <c r="O15" s="17" t="str">
        <f t="shared" si="1"/>
        <v/>
      </c>
      <c r="P15" s="17" t="str">
        <f t="shared" si="2"/>
        <v/>
      </c>
      <c r="Q15" s="17" t="str">
        <f t="shared" si="3"/>
        <v/>
      </c>
      <c r="R15" s="17" t="str">
        <f t="shared" si="4"/>
        <v/>
      </c>
      <c r="S15" s="17" t="str">
        <f t="shared" si="5"/>
        <v/>
      </c>
      <c r="T15" s="17" t="str">
        <f t="shared" si="6"/>
        <v/>
      </c>
      <c r="U15" s="18" t="str">
        <f t="shared" si="7"/>
        <v/>
      </c>
      <c r="V15" s="17" t="str">
        <f t="shared" si="8"/>
        <v/>
      </c>
      <c r="W15" s="17" t="str">
        <f t="shared" si="9"/>
        <v/>
      </c>
      <c r="X15" s="17" t="str">
        <f t="shared" si="10"/>
        <v/>
      </c>
      <c r="Y15" s="19" t="str">
        <f t="shared" si="11"/>
        <v/>
      </c>
      <c r="Z15" s="19" t="str">
        <f t="shared" si="12"/>
        <v/>
      </c>
      <c r="AA15" s="17"/>
      <c r="AB15" s="19" t="str">
        <f t="shared" si="13"/>
        <v/>
      </c>
    </row>
    <row r="16" ht="51.75" customHeight="1" spans="1:28">
      <c r="A16" s="14"/>
      <c r="B16" s="14"/>
      <c r="C16" s="14"/>
      <c r="D16" s="14"/>
      <c r="E16" s="14"/>
      <c r="F16" s="14"/>
      <c r="G16" s="14"/>
      <c r="H16" s="14"/>
      <c r="I16" s="15"/>
      <c r="J16" s="15"/>
      <c r="K16" s="15"/>
      <c r="L16" s="14"/>
      <c r="M16" s="16"/>
      <c r="N16" s="17" t="str">
        <f t="shared" si="0"/>
        <v>fa-home</v>
      </c>
      <c r="O16" s="17" t="str">
        <f t="shared" si="1"/>
        <v/>
      </c>
      <c r="P16" s="17" t="str">
        <f t="shared" si="2"/>
        <v/>
      </c>
      <c r="Q16" s="17" t="str">
        <f t="shared" si="3"/>
        <v/>
      </c>
      <c r="R16" s="17" t="str">
        <f t="shared" si="4"/>
        <v/>
      </c>
      <c r="S16" s="17" t="str">
        <f t="shared" si="5"/>
        <v/>
      </c>
      <c r="T16" s="17" t="str">
        <f t="shared" si="6"/>
        <v/>
      </c>
      <c r="U16" s="18" t="str">
        <f t="shared" si="7"/>
        <v/>
      </c>
      <c r="V16" s="17" t="str">
        <f t="shared" si="8"/>
        <v/>
      </c>
      <c r="W16" s="17" t="str">
        <f t="shared" si="9"/>
        <v/>
      </c>
      <c r="X16" s="17" t="str">
        <f t="shared" si="10"/>
        <v/>
      </c>
      <c r="Y16" s="19" t="str">
        <f t="shared" si="11"/>
        <v/>
      </c>
      <c r="Z16" s="19" t="str">
        <f t="shared" si="12"/>
        <v/>
      </c>
      <c r="AA16" s="17"/>
      <c r="AB16" s="19" t="str">
        <f t="shared" si="13"/>
        <v/>
      </c>
    </row>
    <row r="17" ht="51.75" customHeight="1" spans="1:28">
      <c r="A17" s="14"/>
      <c r="B17" s="14"/>
      <c r="C17" s="14"/>
      <c r="D17" s="14"/>
      <c r="E17" s="14"/>
      <c r="F17" s="14"/>
      <c r="G17" s="14"/>
      <c r="H17" s="14"/>
      <c r="I17" s="15"/>
      <c r="J17" s="15"/>
      <c r="K17" s="15"/>
      <c r="L17" s="14"/>
      <c r="M17" s="16"/>
      <c r="N17" s="17" t="str">
        <f t="shared" si="0"/>
        <v>fa-home</v>
      </c>
      <c r="O17" s="17" t="str">
        <f t="shared" si="1"/>
        <v/>
      </c>
      <c r="P17" s="17" t="str">
        <f t="shared" si="2"/>
        <v/>
      </c>
      <c r="Q17" s="17" t="str">
        <f t="shared" si="3"/>
        <v/>
      </c>
      <c r="R17" s="17" t="str">
        <f t="shared" si="4"/>
        <v/>
      </c>
      <c r="S17" s="17" t="str">
        <f t="shared" si="5"/>
        <v/>
      </c>
      <c r="T17" s="17" t="str">
        <f t="shared" si="6"/>
        <v/>
      </c>
      <c r="U17" s="18" t="str">
        <f t="shared" si="7"/>
        <v/>
      </c>
      <c r="V17" s="17" t="str">
        <f t="shared" si="8"/>
        <v/>
      </c>
      <c r="W17" s="17" t="str">
        <f t="shared" si="9"/>
        <v/>
      </c>
      <c r="X17" s="17" t="str">
        <f t="shared" si="10"/>
        <v/>
      </c>
      <c r="Y17" s="19" t="str">
        <f t="shared" si="11"/>
        <v/>
      </c>
      <c r="Z17" s="19" t="str">
        <f t="shared" si="12"/>
        <v/>
      </c>
      <c r="AA17" s="17"/>
      <c r="AB17" s="19" t="str">
        <f t="shared" si="13"/>
        <v/>
      </c>
    </row>
    <row r="18" ht="51.75" customHeight="1" spans="1:28">
      <c r="A18" s="14"/>
      <c r="B18" s="14"/>
      <c r="C18" s="14"/>
      <c r="D18" s="14"/>
      <c r="E18" s="14"/>
      <c r="F18" s="14"/>
      <c r="G18" s="14"/>
      <c r="H18" s="14"/>
      <c r="I18" s="15"/>
      <c r="J18" s="15"/>
      <c r="K18" s="15"/>
      <c r="L18" s="14"/>
      <c r="M18" s="16"/>
      <c r="N18" s="17" t="str">
        <f t="shared" si="0"/>
        <v>fa-home</v>
      </c>
      <c r="O18" s="17" t="str">
        <f t="shared" si="1"/>
        <v/>
      </c>
      <c r="P18" s="17" t="str">
        <f t="shared" si="2"/>
        <v/>
      </c>
      <c r="Q18" s="17" t="str">
        <f t="shared" si="3"/>
        <v/>
      </c>
      <c r="R18" s="17" t="str">
        <f t="shared" si="4"/>
        <v/>
      </c>
      <c r="S18" s="17" t="str">
        <f t="shared" si="5"/>
        <v/>
      </c>
      <c r="T18" s="17" t="str">
        <f t="shared" si="6"/>
        <v/>
      </c>
      <c r="U18" s="18" t="str">
        <f t="shared" si="7"/>
        <v/>
      </c>
      <c r="V18" s="17" t="str">
        <f t="shared" si="8"/>
        <v/>
      </c>
      <c r="W18" s="17" t="str">
        <f t="shared" si="9"/>
        <v/>
      </c>
      <c r="X18" s="17" t="str">
        <f t="shared" si="10"/>
        <v/>
      </c>
      <c r="Y18" s="19" t="str">
        <f t="shared" si="11"/>
        <v/>
      </c>
      <c r="Z18" s="19" t="str">
        <f t="shared" si="12"/>
        <v/>
      </c>
      <c r="AA18" s="17"/>
      <c r="AB18" s="19" t="str">
        <f t="shared" si="13"/>
        <v/>
      </c>
    </row>
    <row r="19" ht="51.75" customHeight="1" spans="1:28">
      <c r="A19" s="14"/>
      <c r="B19" s="14"/>
      <c r="C19" s="14"/>
      <c r="D19" s="14"/>
      <c r="E19" s="14"/>
      <c r="F19" s="14"/>
      <c r="G19" s="14"/>
      <c r="H19" s="14"/>
      <c r="I19" s="15"/>
      <c r="J19" s="15"/>
      <c r="K19" s="15"/>
      <c r="L19" s="14"/>
      <c r="M19" s="16"/>
      <c r="N19" s="17" t="str">
        <f t="shared" si="0"/>
        <v>fa-home</v>
      </c>
      <c r="O19" s="17" t="str">
        <f t="shared" si="1"/>
        <v/>
      </c>
      <c r="P19" s="17" t="str">
        <f t="shared" si="2"/>
        <v/>
      </c>
      <c r="Q19" s="17" t="str">
        <f t="shared" si="3"/>
        <v/>
      </c>
      <c r="R19" s="17" t="str">
        <f t="shared" si="4"/>
        <v/>
      </c>
      <c r="S19" s="17" t="str">
        <f t="shared" si="5"/>
        <v/>
      </c>
      <c r="T19" s="17" t="str">
        <f t="shared" si="6"/>
        <v/>
      </c>
      <c r="U19" s="18" t="str">
        <f t="shared" si="7"/>
        <v/>
      </c>
      <c r="V19" s="17" t="str">
        <f t="shared" si="8"/>
        <v/>
      </c>
      <c r="W19" s="17" t="str">
        <f t="shared" si="9"/>
        <v/>
      </c>
      <c r="X19" s="17" t="str">
        <f t="shared" si="10"/>
        <v/>
      </c>
      <c r="Y19" s="19" t="str">
        <f t="shared" si="11"/>
        <v/>
      </c>
      <c r="Z19" s="19" t="str">
        <f t="shared" si="12"/>
        <v/>
      </c>
      <c r="AA19" s="17"/>
      <c r="AB19" s="19" t="str">
        <f t="shared" si="13"/>
        <v/>
      </c>
    </row>
    <row r="20" ht="51.75" customHeight="1" spans="1:28">
      <c r="A20" s="14"/>
      <c r="B20" s="14"/>
      <c r="C20" s="14"/>
      <c r="D20" s="14"/>
      <c r="E20" s="14"/>
      <c r="F20" s="14"/>
      <c r="G20" s="14"/>
      <c r="H20" s="14"/>
      <c r="I20" s="15"/>
      <c r="J20" s="15"/>
      <c r="K20" s="15"/>
      <c r="L20" s="14"/>
      <c r="M20" s="16"/>
      <c r="N20" s="17" t="str">
        <f t="shared" si="0"/>
        <v>fa-home</v>
      </c>
      <c r="O20" s="17" t="str">
        <f t="shared" si="1"/>
        <v/>
      </c>
      <c r="P20" s="17" t="str">
        <f t="shared" si="2"/>
        <v/>
      </c>
      <c r="Q20" s="17" t="str">
        <f t="shared" si="3"/>
        <v/>
      </c>
      <c r="R20" s="17" t="str">
        <f t="shared" si="4"/>
        <v/>
      </c>
      <c r="S20" s="17" t="str">
        <f t="shared" si="5"/>
        <v/>
      </c>
      <c r="T20" s="17" t="str">
        <f t="shared" si="6"/>
        <v/>
      </c>
      <c r="U20" s="18" t="str">
        <f t="shared" si="7"/>
        <v/>
      </c>
      <c r="V20" s="17" t="str">
        <f t="shared" si="8"/>
        <v/>
      </c>
      <c r="W20" s="17" t="str">
        <f t="shared" si="9"/>
        <v/>
      </c>
      <c r="X20" s="17" t="str">
        <f t="shared" si="10"/>
        <v/>
      </c>
      <c r="Y20" s="19" t="str">
        <f t="shared" si="11"/>
        <v/>
      </c>
      <c r="Z20" s="19" t="str">
        <f t="shared" si="12"/>
        <v/>
      </c>
      <c r="AA20" s="17"/>
      <c r="AB20" s="19" t="str">
        <f t="shared" si="13"/>
        <v/>
      </c>
    </row>
    <row r="21" ht="51.75" customHeight="1" spans="1:28">
      <c r="A21" s="14"/>
      <c r="B21" s="14"/>
      <c r="C21" s="14"/>
      <c r="D21" s="14"/>
      <c r="E21" s="14"/>
      <c r="F21" s="14"/>
      <c r="G21" s="14"/>
      <c r="H21" s="14"/>
      <c r="I21" s="15"/>
      <c r="J21" s="15"/>
      <c r="K21" s="15"/>
      <c r="L21" s="14"/>
      <c r="M21" s="16"/>
      <c r="N21" s="17" t="str">
        <f t="shared" si="0"/>
        <v>fa-home</v>
      </c>
      <c r="O21" s="17" t="str">
        <f t="shared" si="1"/>
        <v/>
      </c>
      <c r="P21" s="17" t="str">
        <f t="shared" si="2"/>
        <v/>
      </c>
      <c r="Q21" s="17" t="str">
        <f t="shared" si="3"/>
        <v/>
      </c>
      <c r="R21" s="17" t="str">
        <f t="shared" si="4"/>
        <v/>
      </c>
      <c r="S21" s="17" t="str">
        <f t="shared" si="5"/>
        <v/>
      </c>
      <c r="T21" s="17" t="str">
        <f t="shared" si="6"/>
        <v/>
      </c>
      <c r="U21" s="18" t="str">
        <f t="shared" si="7"/>
        <v/>
      </c>
      <c r="V21" s="17" t="str">
        <f t="shared" si="8"/>
        <v/>
      </c>
      <c r="W21" s="17" t="str">
        <f t="shared" si="9"/>
        <v/>
      </c>
      <c r="X21" s="17" t="str">
        <f t="shared" si="10"/>
        <v/>
      </c>
      <c r="Y21" s="19" t="str">
        <f t="shared" si="11"/>
        <v/>
      </c>
      <c r="Z21" s="19" t="str">
        <f t="shared" si="12"/>
        <v/>
      </c>
      <c r="AA21" s="17"/>
      <c r="AB21" s="19" t="str">
        <f t="shared" si="13"/>
        <v/>
      </c>
    </row>
    <row r="22" ht="51.75" customHeight="1" spans="1:28">
      <c r="A22" s="14"/>
      <c r="B22" s="14"/>
      <c r="C22" s="14"/>
      <c r="D22" s="14"/>
      <c r="E22" s="14"/>
      <c r="F22" s="14"/>
      <c r="G22" s="14"/>
      <c r="H22" s="14"/>
      <c r="I22" s="15"/>
      <c r="J22" s="15"/>
      <c r="K22" s="15"/>
      <c r="L22" s="14"/>
      <c r="M22" s="16"/>
      <c r="N22" s="17" t="str">
        <f t="shared" si="0"/>
        <v>fa-home</v>
      </c>
      <c r="O22" s="17" t="str">
        <f t="shared" si="1"/>
        <v/>
      </c>
      <c r="P22" s="17" t="str">
        <f t="shared" si="2"/>
        <v/>
      </c>
      <c r="Q22" s="17" t="str">
        <f t="shared" si="3"/>
        <v/>
      </c>
      <c r="R22" s="17" t="str">
        <f t="shared" si="4"/>
        <v/>
      </c>
      <c r="S22" s="17" t="str">
        <f t="shared" si="5"/>
        <v/>
      </c>
      <c r="T22" s="17" t="str">
        <f t="shared" si="6"/>
        <v/>
      </c>
      <c r="U22" s="18" t="str">
        <f t="shared" si="7"/>
        <v/>
      </c>
      <c r="V22" s="17" t="str">
        <f t="shared" si="8"/>
        <v/>
      </c>
      <c r="W22" s="17" t="str">
        <f t="shared" si="9"/>
        <v/>
      </c>
      <c r="X22" s="17" t="str">
        <f t="shared" si="10"/>
        <v/>
      </c>
      <c r="Y22" s="19" t="str">
        <f t="shared" si="11"/>
        <v/>
      </c>
      <c r="Z22" s="19" t="str">
        <f t="shared" si="12"/>
        <v/>
      </c>
      <c r="AA22" s="17"/>
      <c r="AB22" s="19" t="str">
        <f t="shared" si="13"/>
        <v/>
      </c>
    </row>
    <row r="23" ht="51.75" customHeight="1" spans="1:28">
      <c r="A23" s="14"/>
      <c r="B23" s="14"/>
      <c r="C23" s="14"/>
      <c r="D23" s="14"/>
      <c r="E23" s="14"/>
      <c r="F23" s="14"/>
      <c r="G23" s="14"/>
      <c r="H23" s="14"/>
      <c r="I23" s="15"/>
      <c r="J23" s="15"/>
      <c r="K23" s="15"/>
      <c r="L23" s="14"/>
      <c r="M23" s="16"/>
      <c r="N23" s="17" t="str">
        <f t="shared" si="0"/>
        <v>fa-home</v>
      </c>
      <c r="O23" s="17" t="str">
        <f t="shared" si="1"/>
        <v/>
      </c>
      <c r="P23" s="17" t="str">
        <f t="shared" si="2"/>
        <v/>
      </c>
      <c r="Q23" s="17" t="str">
        <f t="shared" si="3"/>
        <v/>
      </c>
      <c r="R23" s="17" t="str">
        <f t="shared" si="4"/>
        <v/>
      </c>
      <c r="S23" s="17" t="str">
        <f t="shared" si="5"/>
        <v/>
      </c>
      <c r="T23" s="17" t="str">
        <f t="shared" si="6"/>
        <v/>
      </c>
      <c r="U23" s="18" t="str">
        <f t="shared" si="7"/>
        <v/>
      </c>
      <c r="V23" s="17" t="str">
        <f t="shared" si="8"/>
        <v/>
      </c>
      <c r="W23" s="17" t="str">
        <f t="shared" si="9"/>
        <v/>
      </c>
      <c r="X23" s="17" t="str">
        <f t="shared" si="10"/>
        <v/>
      </c>
      <c r="Y23" s="19" t="str">
        <f t="shared" si="11"/>
        <v/>
      </c>
      <c r="Z23" s="19" t="str">
        <f t="shared" si="12"/>
        <v/>
      </c>
      <c r="AA23" s="17"/>
      <c r="AB23" s="19" t="str">
        <f t="shared" si="13"/>
        <v/>
      </c>
    </row>
    <row r="24" ht="51.75" customHeight="1" spans="1:28">
      <c r="A24" s="14"/>
      <c r="B24" s="14"/>
      <c r="C24" s="14"/>
      <c r="D24" s="14"/>
      <c r="E24" s="14"/>
      <c r="F24" s="14"/>
      <c r="G24" s="14"/>
      <c r="H24" s="14"/>
      <c r="I24" s="15"/>
      <c r="J24" s="15"/>
      <c r="K24" s="15"/>
      <c r="L24" s="14"/>
      <c r="M24" s="16"/>
      <c r="N24" s="17" t="str">
        <f t="shared" si="0"/>
        <v>fa-home</v>
      </c>
      <c r="O24" s="17" t="str">
        <f t="shared" si="1"/>
        <v/>
      </c>
      <c r="P24" s="17" t="str">
        <f t="shared" si="2"/>
        <v/>
      </c>
      <c r="Q24" s="17" t="str">
        <f t="shared" si="3"/>
        <v/>
      </c>
      <c r="R24" s="17" t="str">
        <f t="shared" si="4"/>
        <v/>
      </c>
      <c r="S24" s="17" t="str">
        <f t="shared" si="5"/>
        <v/>
      </c>
      <c r="T24" s="17" t="str">
        <f t="shared" si="6"/>
        <v/>
      </c>
      <c r="U24" s="18" t="str">
        <f t="shared" si="7"/>
        <v/>
      </c>
      <c r="V24" s="17" t="str">
        <f t="shared" si="8"/>
        <v/>
      </c>
      <c r="W24" s="17" t="str">
        <f t="shared" si="9"/>
        <v/>
      </c>
      <c r="X24" s="17" t="str">
        <f t="shared" si="10"/>
        <v/>
      </c>
      <c r="Y24" s="19" t="str">
        <f t="shared" si="11"/>
        <v/>
      </c>
      <c r="Z24" s="19" t="str">
        <f t="shared" si="12"/>
        <v/>
      </c>
      <c r="AA24" s="17"/>
      <c r="AB24" s="19" t="str">
        <f t="shared" si="13"/>
        <v/>
      </c>
    </row>
    <row r="25" ht="51.75" customHeight="1" spans="1:28">
      <c r="A25" s="14"/>
      <c r="B25" s="14"/>
      <c r="C25" s="14"/>
      <c r="D25" s="14"/>
      <c r="E25" s="14"/>
      <c r="F25" s="14"/>
      <c r="G25" s="14"/>
      <c r="H25" s="14"/>
      <c r="I25" s="15"/>
      <c r="J25" s="15"/>
      <c r="K25" s="15"/>
      <c r="L25" s="14"/>
      <c r="M25" s="16"/>
      <c r="N25" s="17" t="str">
        <f t="shared" si="0"/>
        <v>fa-home</v>
      </c>
      <c r="O25" s="17" t="str">
        <f t="shared" si="1"/>
        <v/>
      </c>
      <c r="P25" s="17" t="str">
        <f t="shared" si="2"/>
        <v/>
      </c>
      <c r="Q25" s="17" t="str">
        <f t="shared" si="3"/>
        <v/>
      </c>
      <c r="R25" s="17" t="str">
        <f t="shared" si="4"/>
        <v/>
      </c>
      <c r="S25" s="17" t="str">
        <f t="shared" si="5"/>
        <v/>
      </c>
      <c r="T25" s="17" t="str">
        <f t="shared" si="6"/>
        <v/>
      </c>
      <c r="U25" s="18" t="str">
        <f t="shared" si="7"/>
        <v/>
      </c>
      <c r="V25" s="17" t="str">
        <f t="shared" si="8"/>
        <v/>
      </c>
      <c r="W25" s="17" t="str">
        <f t="shared" si="9"/>
        <v/>
      </c>
      <c r="X25" s="17" t="str">
        <f t="shared" si="10"/>
        <v/>
      </c>
      <c r="Y25" s="19" t="str">
        <f t="shared" si="11"/>
        <v/>
      </c>
      <c r="Z25" s="19" t="str">
        <f t="shared" si="12"/>
        <v/>
      </c>
      <c r="AA25" s="17"/>
      <c r="AB25" s="19" t="str">
        <f t="shared" si="13"/>
        <v/>
      </c>
    </row>
    <row r="26" ht="51.75" customHeight="1" spans="1:28">
      <c r="A26" s="14"/>
      <c r="B26" s="14"/>
      <c r="C26" s="14"/>
      <c r="D26" s="14"/>
      <c r="E26" s="14"/>
      <c r="F26" s="14"/>
      <c r="G26" s="14"/>
      <c r="H26" s="14"/>
      <c r="I26" s="15"/>
      <c r="J26" s="15"/>
      <c r="K26" s="15"/>
      <c r="L26" s="14"/>
      <c r="M26" s="16"/>
      <c r="N26" s="17" t="str">
        <f t="shared" si="0"/>
        <v>fa-home</v>
      </c>
      <c r="O26" s="17" t="str">
        <f t="shared" si="1"/>
        <v/>
      </c>
      <c r="P26" s="17" t="str">
        <f t="shared" si="2"/>
        <v/>
      </c>
      <c r="Q26" s="17" t="str">
        <f t="shared" si="3"/>
        <v/>
      </c>
      <c r="R26" s="17" t="str">
        <f t="shared" si="4"/>
        <v/>
      </c>
      <c r="S26" s="17" t="str">
        <f t="shared" si="5"/>
        <v/>
      </c>
      <c r="T26" s="17" t="str">
        <f t="shared" si="6"/>
        <v/>
      </c>
      <c r="U26" s="18" t="str">
        <f t="shared" si="7"/>
        <v/>
      </c>
      <c r="V26" s="17" t="str">
        <f t="shared" si="8"/>
        <v/>
      </c>
      <c r="W26" s="17" t="str">
        <f t="shared" si="9"/>
        <v/>
      </c>
      <c r="X26" s="17" t="str">
        <f t="shared" si="10"/>
        <v/>
      </c>
      <c r="Y26" s="19" t="str">
        <f t="shared" si="11"/>
        <v/>
      </c>
      <c r="Z26" s="19" t="str">
        <f t="shared" si="12"/>
        <v/>
      </c>
      <c r="AA26" s="17"/>
      <c r="AB26" s="19" t="str">
        <f t="shared" si="13"/>
        <v/>
      </c>
    </row>
    <row r="27" ht="51.75" customHeight="1" spans="1:28">
      <c r="A27" s="14"/>
      <c r="B27" s="14"/>
      <c r="C27" s="14"/>
      <c r="D27" s="14"/>
      <c r="E27" s="14"/>
      <c r="F27" s="14"/>
      <c r="G27" s="14"/>
      <c r="H27" s="14"/>
      <c r="I27" s="15"/>
      <c r="J27" s="15"/>
      <c r="K27" s="15"/>
      <c r="L27" s="14"/>
      <c r="M27" s="16"/>
      <c r="N27" s="17" t="str">
        <f t="shared" si="0"/>
        <v>fa-home</v>
      </c>
      <c r="O27" s="17" t="str">
        <f t="shared" si="1"/>
        <v/>
      </c>
      <c r="P27" s="17" t="str">
        <f t="shared" si="2"/>
        <v/>
      </c>
      <c r="Q27" s="17" t="str">
        <f t="shared" si="3"/>
        <v/>
      </c>
      <c r="R27" s="17" t="str">
        <f t="shared" si="4"/>
        <v/>
      </c>
      <c r="S27" s="17" t="str">
        <f t="shared" si="5"/>
        <v/>
      </c>
      <c r="T27" s="17" t="str">
        <f t="shared" si="6"/>
        <v/>
      </c>
      <c r="U27" s="18" t="str">
        <f t="shared" si="7"/>
        <v/>
      </c>
      <c r="V27" s="17" t="str">
        <f t="shared" si="8"/>
        <v/>
      </c>
      <c r="W27" s="17" t="str">
        <f t="shared" si="9"/>
        <v/>
      </c>
      <c r="X27" s="17" t="str">
        <f t="shared" si="10"/>
        <v/>
      </c>
      <c r="Y27" s="19" t="str">
        <f t="shared" si="11"/>
        <v/>
      </c>
      <c r="Z27" s="19" t="str">
        <f t="shared" si="12"/>
        <v/>
      </c>
      <c r="AA27" s="17"/>
      <c r="AB27" s="19" t="str">
        <f t="shared" si="13"/>
        <v/>
      </c>
    </row>
    <row r="28" ht="51.75" customHeight="1" spans="1:28">
      <c r="A28" s="14"/>
      <c r="B28" s="14"/>
      <c r="C28" s="14"/>
      <c r="D28" s="14"/>
      <c r="E28" s="14"/>
      <c r="F28" s="14"/>
      <c r="G28" s="14"/>
      <c r="H28" s="14"/>
      <c r="I28" s="15"/>
      <c r="J28" s="15"/>
      <c r="K28" s="15"/>
      <c r="L28" s="14"/>
      <c r="M28" s="16"/>
      <c r="N28" s="17" t="str">
        <f t="shared" si="0"/>
        <v>fa-home</v>
      </c>
      <c r="O28" s="17" t="str">
        <f t="shared" si="1"/>
        <v/>
      </c>
      <c r="P28" s="17" t="str">
        <f t="shared" si="2"/>
        <v/>
      </c>
      <c r="Q28" s="17" t="str">
        <f t="shared" si="3"/>
        <v/>
      </c>
      <c r="R28" s="17" t="str">
        <f t="shared" si="4"/>
        <v/>
      </c>
      <c r="S28" s="17" t="str">
        <f t="shared" si="5"/>
        <v/>
      </c>
      <c r="T28" s="17" t="str">
        <f t="shared" si="6"/>
        <v/>
      </c>
      <c r="U28" s="18" t="str">
        <f t="shared" si="7"/>
        <v/>
      </c>
      <c r="V28" s="17" t="str">
        <f t="shared" si="8"/>
        <v/>
      </c>
      <c r="W28" s="17" t="str">
        <f t="shared" si="9"/>
        <v/>
      </c>
      <c r="X28" s="17" t="str">
        <f t="shared" si="10"/>
        <v/>
      </c>
      <c r="Y28" s="19" t="str">
        <f t="shared" si="11"/>
        <v/>
      </c>
      <c r="Z28" s="19" t="str">
        <f t="shared" si="12"/>
        <v/>
      </c>
      <c r="AA28" s="17"/>
      <c r="AB28" s="19" t="str">
        <f t="shared" si="13"/>
        <v/>
      </c>
    </row>
    <row r="29" ht="51.75" customHeight="1" spans="1:28">
      <c r="A29" s="14"/>
      <c r="B29" s="14"/>
      <c r="C29" s="14"/>
      <c r="D29" s="14"/>
      <c r="E29" s="14"/>
      <c r="F29" s="14"/>
      <c r="G29" s="14"/>
      <c r="H29" s="14"/>
      <c r="I29" s="15"/>
      <c r="J29" s="15"/>
      <c r="K29" s="15"/>
      <c r="L29" s="14"/>
      <c r="M29" s="16"/>
      <c r="N29" s="17" t="str">
        <f t="shared" si="0"/>
        <v>fa-home</v>
      </c>
      <c r="O29" s="17" t="str">
        <f t="shared" si="1"/>
        <v/>
      </c>
      <c r="P29" s="17" t="str">
        <f t="shared" si="2"/>
        <v/>
      </c>
      <c r="Q29" s="17" t="str">
        <f t="shared" si="3"/>
        <v/>
      </c>
      <c r="R29" s="17" t="str">
        <f t="shared" si="4"/>
        <v/>
      </c>
      <c r="S29" s="17" t="str">
        <f t="shared" si="5"/>
        <v/>
      </c>
      <c r="T29" s="17" t="str">
        <f t="shared" si="6"/>
        <v/>
      </c>
      <c r="U29" s="18" t="str">
        <f t="shared" si="7"/>
        <v/>
      </c>
      <c r="V29" s="17" t="str">
        <f t="shared" si="8"/>
        <v/>
      </c>
      <c r="W29" s="17" t="str">
        <f t="shared" si="9"/>
        <v/>
      </c>
      <c r="X29" s="17" t="str">
        <f t="shared" si="10"/>
        <v/>
      </c>
      <c r="Y29" s="19" t="str">
        <f t="shared" si="11"/>
        <v/>
      </c>
      <c r="Z29" s="19" t="str">
        <f t="shared" si="12"/>
        <v/>
      </c>
      <c r="AA29" s="17"/>
      <c r="AB29" s="19" t="str">
        <f t="shared" si="13"/>
        <v/>
      </c>
    </row>
    <row r="30" ht="51.75" customHeight="1" spans="1:28">
      <c r="A30" s="14"/>
      <c r="B30" s="14"/>
      <c r="C30" s="14"/>
      <c r="D30" s="14"/>
      <c r="E30" s="14"/>
      <c r="F30" s="14"/>
      <c r="G30" s="14"/>
      <c r="H30" s="14"/>
      <c r="I30" s="15"/>
      <c r="J30" s="15"/>
      <c r="K30" s="15"/>
      <c r="L30" s="14"/>
      <c r="M30" s="16"/>
      <c r="N30" s="17" t="str">
        <f t="shared" si="0"/>
        <v>fa-home</v>
      </c>
      <c r="O30" s="17" t="str">
        <f t="shared" si="1"/>
        <v/>
      </c>
      <c r="P30" s="17" t="str">
        <f t="shared" si="2"/>
        <v/>
      </c>
      <c r="Q30" s="17" t="str">
        <f t="shared" si="3"/>
        <v/>
      </c>
      <c r="R30" s="17" t="str">
        <f t="shared" si="4"/>
        <v/>
      </c>
      <c r="S30" s="17" t="str">
        <f t="shared" si="5"/>
        <v/>
      </c>
      <c r="T30" s="17" t="str">
        <f t="shared" si="6"/>
        <v/>
      </c>
      <c r="U30" s="18" t="str">
        <f t="shared" si="7"/>
        <v/>
      </c>
      <c r="V30" s="17" t="str">
        <f t="shared" si="8"/>
        <v/>
      </c>
      <c r="W30" s="17" t="str">
        <f t="shared" si="9"/>
        <v/>
      </c>
      <c r="X30" s="17" t="str">
        <f t="shared" si="10"/>
        <v/>
      </c>
      <c r="Y30" s="19" t="str">
        <f t="shared" si="11"/>
        <v/>
      </c>
      <c r="Z30" s="19" t="str">
        <f t="shared" si="12"/>
        <v/>
      </c>
      <c r="AA30" s="17"/>
      <c r="AB30" s="19" t="str">
        <f t="shared" si="13"/>
        <v/>
      </c>
    </row>
    <row r="31" ht="51.75" customHeight="1" spans="1:28">
      <c r="A31" s="14"/>
      <c r="B31" s="14"/>
      <c r="C31" s="14"/>
      <c r="D31" s="14"/>
      <c r="E31" s="14"/>
      <c r="F31" s="14"/>
      <c r="G31" s="14"/>
      <c r="H31" s="14"/>
      <c r="I31" s="15"/>
      <c r="J31" s="15"/>
      <c r="K31" s="15"/>
      <c r="L31" s="14"/>
      <c r="M31" s="16"/>
      <c r="N31" s="17" t="str">
        <f t="shared" si="0"/>
        <v>fa-home</v>
      </c>
      <c r="O31" s="17" t="str">
        <f t="shared" si="1"/>
        <v/>
      </c>
      <c r="P31" s="17" t="str">
        <f t="shared" si="2"/>
        <v/>
      </c>
      <c r="Q31" s="17" t="str">
        <f t="shared" si="3"/>
        <v/>
      </c>
      <c r="R31" s="17" t="str">
        <f t="shared" si="4"/>
        <v/>
      </c>
      <c r="S31" s="17" t="str">
        <f t="shared" si="5"/>
        <v/>
      </c>
      <c r="T31" s="17" t="str">
        <f t="shared" si="6"/>
        <v/>
      </c>
      <c r="U31" s="18" t="str">
        <f t="shared" si="7"/>
        <v/>
      </c>
      <c r="V31" s="17" t="str">
        <f t="shared" si="8"/>
        <v/>
      </c>
      <c r="W31" s="17" t="str">
        <f t="shared" si="9"/>
        <v/>
      </c>
      <c r="X31" s="17" t="str">
        <f t="shared" si="10"/>
        <v/>
      </c>
      <c r="Y31" s="19" t="str">
        <f t="shared" si="11"/>
        <v/>
      </c>
      <c r="Z31" s="19" t="str">
        <f t="shared" si="12"/>
        <v/>
      </c>
      <c r="AA31" s="17"/>
      <c r="AB31" s="19" t="str">
        <f t="shared" si="13"/>
        <v/>
      </c>
    </row>
    <row r="32" customHeight="1" spans="1:28">
      <c r="A32" s="14"/>
      <c r="B32" s="14"/>
      <c r="C32" s="14"/>
      <c r="D32" s="14"/>
      <c r="E32" s="14"/>
      <c r="F32" s="14"/>
      <c r="G32" s="14"/>
      <c r="H32" s="14"/>
      <c r="I32" s="15"/>
      <c r="J32" s="15"/>
      <c r="K32" s="15"/>
      <c r="L32" s="14"/>
      <c r="M32" s="16"/>
      <c r="N32" s="17" t="str">
        <f t="shared" si="0"/>
        <v>fa-home</v>
      </c>
      <c r="O32" s="17" t="str">
        <f t="shared" si="1"/>
        <v/>
      </c>
      <c r="P32" s="17" t="str">
        <f t="shared" si="2"/>
        <v/>
      </c>
      <c r="Q32" s="17" t="str">
        <f t="shared" si="3"/>
        <v/>
      </c>
      <c r="R32" s="17" t="str">
        <f t="shared" si="4"/>
        <v/>
      </c>
      <c r="S32" s="17" t="str">
        <f t="shared" si="5"/>
        <v/>
      </c>
      <c r="T32" s="17" t="str">
        <f t="shared" si="6"/>
        <v/>
      </c>
      <c r="U32" s="18" t="str">
        <f t="shared" si="7"/>
        <v/>
      </c>
      <c r="V32" s="17" t="str">
        <f t="shared" si="8"/>
        <v/>
      </c>
      <c r="W32" s="17" t="str">
        <f t="shared" si="9"/>
        <v/>
      </c>
      <c r="X32" s="17" t="str">
        <f t="shared" si="10"/>
        <v/>
      </c>
      <c r="Y32" s="19" t="str">
        <f t="shared" si="11"/>
        <v/>
      </c>
      <c r="Z32" s="19" t="str">
        <f t="shared" si="12"/>
        <v/>
      </c>
      <c r="AA32" s="17"/>
      <c r="AB32" s="19" t="str">
        <f t="shared" si="13"/>
        <v/>
      </c>
    </row>
    <row r="33" customHeight="1" spans="1:28">
      <c r="A33" s="14"/>
      <c r="B33" s="14"/>
      <c r="C33" s="14"/>
      <c r="D33" s="14"/>
      <c r="E33" s="14"/>
      <c r="F33" s="14"/>
      <c r="G33" s="14"/>
      <c r="H33" s="14"/>
      <c r="I33" s="15"/>
      <c r="J33" s="15"/>
      <c r="K33" s="15"/>
      <c r="L33" s="14"/>
      <c r="M33" s="16"/>
      <c r="N33" s="17" t="str">
        <f t="shared" si="0"/>
        <v>fa-home</v>
      </c>
      <c r="O33" s="17" t="str">
        <f t="shared" si="1"/>
        <v/>
      </c>
      <c r="P33" s="17" t="str">
        <f t="shared" si="2"/>
        <v/>
      </c>
      <c r="Q33" s="17" t="str">
        <f t="shared" si="3"/>
        <v/>
      </c>
      <c r="R33" s="17" t="str">
        <f t="shared" si="4"/>
        <v/>
      </c>
      <c r="S33" s="17" t="str">
        <f t="shared" si="5"/>
        <v/>
      </c>
      <c r="T33" s="17" t="str">
        <f t="shared" si="6"/>
        <v/>
      </c>
      <c r="U33" s="18" t="str">
        <f t="shared" si="7"/>
        <v/>
      </c>
      <c r="V33" s="17" t="str">
        <f t="shared" si="8"/>
        <v/>
      </c>
      <c r="W33" s="17" t="str">
        <f t="shared" si="9"/>
        <v/>
      </c>
      <c r="X33" s="17" t="str">
        <f t="shared" si="10"/>
        <v/>
      </c>
      <c r="Y33" s="19" t="str">
        <f t="shared" si="11"/>
        <v/>
      </c>
      <c r="Z33" s="19" t="str">
        <f t="shared" si="12"/>
        <v/>
      </c>
      <c r="AA33" s="17"/>
      <c r="AB33" s="19" t="str">
        <f t="shared" si="13"/>
        <v/>
      </c>
    </row>
    <row r="34" customHeight="1" spans="1:28">
      <c r="A34" s="14"/>
      <c r="B34" s="14"/>
      <c r="C34" s="14"/>
      <c r="D34" s="14"/>
      <c r="E34" s="14"/>
      <c r="F34" s="14"/>
      <c r="G34" s="14"/>
      <c r="H34" s="14"/>
      <c r="I34" s="15"/>
      <c r="J34" s="15"/>
      <c r="K34" s="15"/>
      <c r="L34" s="14"/>
      <c r="M34" s="16"/>
      <c r="N34" s="17" t="str">
        <f t="shared" si="0"/>
        <v>fa-home</v>
      </c>
      <c r="O34" s="17" t="str">
        <f t="shared" si="1"/>
        <v/>
      </c>
      <c r="P34" s="17" t="str">
        <f t="shared" si="2"/>
        <v/>
      </c>
      <c r="Q34" s="17" t="str">
        <f t="shared" si="3"/>
        <v/>
      </c>
      <c r="R34" s="17" t="str">
        <f t="shared" si="4"/>
        <v/>
      </c>
      <c r="S34" s="17" t="str">
        <f t="shared" si="5"/>
        <v/>
      </c>
      <c r="T34" s="17" t="str">
        <f t="shared" si="6"/>
        <v/>
      </c>
      <c r="U34" s="18" t="str">
        <f t="shared" si="7"/>
        <v/>
      </c>
      <c r="V34" s="17" t="str">
        <f t="shared" si="8"/>
        <v/>
      </c>
      <c r="W34" s="17" t="str">
        <f t="shared" si="9"/>
        <v/>
      </c>
      <c r="X34" s="17" t="str">
        <f t="shared" si="10"/>
        <v/>
      </c>
      <c r="Y34" s="19" t="str">
        <f t="shared" si="11"/>
        <v/>
      </c>
      <c r="Z34" s="19" t="str">
        <f t="shared" si="12"/>
        <v/>
      </c>
      <c r="AA34" s="17"/>
      <c r="AB34" s="19" t="str">
        <f t="shared" si="13"/>
        <v/>
      </c>
    </row>
    <row r="35" customHeight="1" spans="1:28">
      <c r="A35" s="14"/>
      <c r="B35" s="14"/>
      <c r="C35" s="14"/>
      <c r="D35" s="14"/>
      <c r="E35" s="14"/>
      <c r="F35" s="14"/>
      <c r="G35" s="14"/>
      <c r="H35" s="14"/>
      <c r="I35" s="15"/>
      <c r="J35" s="15"/>
      <c r="K35" s="15"/>
      <c r="L35" s="14"/>
      <c r="M35" s="16"/>
      <c r="N35" s="17" t="str">
        <f t="shared" si="0"/>
        <v>fa-home</v>
      </c>
      <c r="O35" s="17" t="str">
        <f t="shared" si="1"/>
        <v/>
      </c>
      <c r="P35" s="17" t="str">
        <f t="shared" si="2"/>
        <v/>
      </c>
      <c r="Q35" s="17" t="str">
        <f t="shared" si="3"/>
        <v/>
      </c>
      <c r="R35" s="17" t="str">
        <f t="shared" si="4"/>
        <v/>
      </c>
      <c r="S35" s="17" t="str">
        <f t="shared" si="5"/>
        <v/>
      </c>
      <c r="T35" s="17" t="str">
        <f t="shared" si="6"/>
        <v/>
      </c>
      <c r="U35" s="18" t="str">
        <f t="shared" si="7"/>
        <v/>
      </c>
      <c r="V35" s="17" t="str">
        <f t="shared" si="8"/>
        <v/>
      </c>
      <c r="W35" s="17" t="str">
        <f t="shared" si="9"/>
        <v/>
      </c>
      <c r="X35" s="17" t="str">
        <f t="shared" si="10"/>
        <v/>
      </c>
      <c r="Y35" s="19" t="str">
        <f t="shared" si="11"/>
        <v/>
      </c>
      <c r="Z35" s="19" t="str">
        <f t="shared" si="12"/>
        <v/>
      </c>
      <c r="AA35" s="17"/>
      <c r="AB35" s="19" t="str">
        <f t="shared" si="13"/>
        <v/>
      </c>
    </row>
    <row r="36" customHeight="1" spans="1:28">
      <c r="A36" s="14"/>
      <c r="B36" s="14"/>
      <c r="C36" s="14"/>
      <c r="D36" s="14"/>
      <c r="E36" s="14"/>
      <c r="F36" s="14"/>
      <c r="G36" s="14"/>
      <c r="H36" s="14"/>
      <c r="I36" s="15"/>
      <c r="J36" s="15"/>
      <c r="K36" s="15"/>
      <c r="L36" s="14"/>
      <c r="M36" s="16"/>
      <c r="N36" s="17" t="str">
        <f t="shared" si="0"/>
        <v>fa-home</v>
      </c>
      <c r="O36" s="17" t="str">
        <f t="shared" si="1"/>
        <v/>
      </c>
      <c r="P36" s="17" t="str">
        <f t="shared" si="2"/>
        <v/>
      </c>
      <c r="Q36" s="17" t="str">
        <f t="shared" si="3"/>
        <v/>
      </c>
      <c r="R36" s="17" t="str">
        <f t="shared" si="4"/>
        <v/>
      </c>
      <c r="S36" s="17" t="str">
        <f t="shared" si="5"/>
        <v/>
      </c>
      <c r="T36" s="17" t="str">
        <f t="shared" si="6"/>
        <v/>
      </c>
      <c r="U36" s="18" t="str">
        <f t="shared" si="7"/>
        <v/>
      </c>
      <c r="V36" s="17" t="str">
        <f t="shared" si="8"/>
        <v/>
      </c>
      <c r="W36" s="17" t="str">
        <f t="shared" si="9"/>
        <v/>
      </c>
      <c r="X36" s="17" t="str">
        <f t="shared" si="10"/>
        <v/>
      </c>
      <c r="Y36" s="19" t="str">
        <f t="shared" si="11"/>
        <v/>
      </c>
      <c r="Z36" s="19" t="str">
        <f t="shared" si="12"/>
        <v/>
      </c>
      <c r="AA36" s="17"/>
      <c r="AB36" s="19" t="str">
        <f t="shared" si="13"/>
        <v/>
      </c>
    </row>
    <row r="37" customHeight="1" spans="1:28">
      <c r="A37" s="14"/>
      <c r="B37" s="14"/>
      <c r="C37" s="14"/>
      <c r="D37" s="14"/>
      <c r="E37" s="14"/>
      <c r="F37" s="14"/>
      <c r="G37" s="14"/>
      <c r="H37" s="14"/>
      <c r="I37" s="15"/>
      <c r="J37" s="15"/>
      <c r="K37" s="15"/>
      <c r="L37" s="14"/>
      <c r="M37" s="16"/>
      <c r="N37" s="17" t="str">
        <f t="shared" si="0"/>
        <v>fa-home</v>
      </c>
      <c r="O37" s="17" t="str">
        <f t="shared" si="1"/>
        <v/>
      </c>
      <c r="P37" s="17" t="str">
        <f t="shared" si="2"/>
        <v/>
      </c>
      <c r="Q37" s="17" t="str">
        <f t="shared" si="3"/>
        <v/>
      </c>
      <c r="R37" s="17" t="str">
        <f t="shared" si="4"/>
        <v/>
      </c>
      <c r="S37" s="17" t="str">
        <f t="shared" si="5"/>
        <v/>
      </c>
      <c r="T37" s="17" t="str">
        <f t="shared" si="6"/>
        <v/>
      </c>
      <c r="U37" s="18" t="str">
        <f t="shared" si="7"/>
        <v/>
      </c>
      <c r="V37" s="17" t="str">
        <f t="shared" si="8"/>
        <v/>
      </c>
      <c r="W37" s="17" t="str">
        <f t="shared" si="9"/>
        <v/>
      </c>
      <c r="X37" s="17" t="str">
        <f t="shared" si="10"/>
        <v/>
      </c>
      <c r="Y37" s="19" t="str">
        <f t="shared" si="11"/>
        <v/>
      </c>
      <c r="Z37" s="19" t="str">
        <f t="shared" si="12"/>
        <v/>
      </c>
      <c r="AA37" s="17"/>
      <c r="AB37" s="19" t="str">
        <f t="shared" si="13"/>
        <v/>
      </c>
    </row>
    <row r="38" customHeight="1" spans="1:28">
      <c r="A38" s="14"/>
      <c r="B38" s="14"/>
      <c r="C38" s="14"/>
      <c r="D38" s="14"/>
      <c r="E38" s="14"/>
      <c r="F38" s="14"/>
      <c r="G38" s="14"/>
      <c r="H38" s="14"/>
      <c r="I38" s="15"/>
      <c r="J38" s="15"/>
      <c r="K38" s="15"/>
      <c r="L38" s="14"/>
      <c r="M38" s="16"/>
      <c r="N38" s="17" t="str">
        <f t="shared" si="0"/>
        <v>fa-home</v>
      </c>
      <c r="O38" s="17" t="str">
        <f t="shared" si="1"/>
        <v/>
      </c>
      <c r="P38" s="17" t="str">
        <f t="shared" si="2"/>
        <v/>
      </c>
      <c r="Q38" s="17" t="str">
        <f t="shared" si="3"/>
        <v/>
      </c>
      <c r="R38" s="17" t="str">
        <f t="shared" si="4"/>
        <v/>
      </c>
      <c r="S38" s="17" t="str">
        <f t="shared" si="5"/>
        <v/>
      </c>
      <c r="T38" s="17" t="str">
        <f t="shared" si="6"/>
        <v/>
      </c>
      <c r="U38" s="18" t="str">
        <f t="shared" si="7"/>
        <v/>
      </c>
      <c r="V38" s="17" t="str">
        <f t="shared" si="8"/>
        <v/>
      </c>
      <c r="W38" s="17" t="str">
        <f t="shared" si="9"/>
        <v/>
      </c>
      <c r="X38" s="17" t="str">
        <f t="shared" si="10"/>
        <v/>
      </c>
      <c r="Y38" s="19" t="str">
        <f t="shared" si="11"/>
        <v/>
      </c>
      <c r="Z38" s="19" t="str">
        <f t="shared" si="12"/>
        <v/>
      </c>
      <c r="AA38" s="17"/>
      <c r="AB38" s="19" t="str">
        <f t="shared" si="13"/>
        <v/>
      </c>
    </row>
    <row r="39" customHeight="1" spans="1:28">
      <c r="A39" s="14"/>
      <c r="B39" s="14"/>
      <c r="C39" s="14"/>
      <c r="D39" s="14"/>
      <c r="E39" s="14"/>
      <c r="F39" s="14"/>
      <c r="G39" s="14"/>
      <c r="H39" s="14"/>
      <c r="I39" s="15"/>
      <c r="J39" s="15"/>
      <c r="K39" s="15"/>
      <c r="L39" s="14"/>
      <c r="M39" s="16"/>
      <c r="N39" s="17" t="str">
        <f t="shared" si="0"/>
        <v>fa-home</v>
      </c>
      <c r="O39" s="17" t="str">
        <f t="shared" si="1"/>
        <v/>
      </c>
      <c r="P39" s="17" t="str">
        <f t="shared" si="2"/>
        <v/>
      </c>
      <c r="Q39" s="17" t="str">
        <f t="shared" si="3"/>
        <v/>
      </c>
      <c r="R39" s="17" t="str">
        <f t="shared" si="4"/>
        <v/>
      </c>
      <c r="S39" s="17" t="str">
        <f t="shared" si="5"/>
        <v/>
      </c>
      <c r="T39" s="17" t="str">
        <f t="shared" si="6"/>
        <v/>
      </c>
      <c r="U39" s="18" t="str">
        <f t="shared" si="7"/>
        <v/>
      </c>
      <c r="V39" s="17" t="str">
        <f t="shared" si="8"/>
        <v/>
      </c>
      <c r="W39" s="17" t="str">
        <f t="shared" si="9"/>
        <v/>
      </c>
      <c r="X39" s="17" t="str">
        <f t="shared" si="10"/>
        <v/>
      </c>
      <c r="Y39" s="19" t="str">
        <f t="shared" si="11"/>
        <v/>
      </c>
      <c r="Z39" s="19" t="str">
        <f t="shared" si="12"/>
        <v/>
      </c>
      <c r="AA39" s="17"/>
      <c r="AB39" s="19" t="str">
        <f t="shared" si="13"/>
        <v/>
      </c>
    </row>
    <row r="40" customHeight="1" spans="1:28">
      <c r="A40" s="14"/>
      <c r="B40" s="14"/>
      <c r="C40" s="14"/>
      <c r="D40" s="14"/>
      <c r="E40" s="14"/>
      <c r="F40" s="14"/>
      <c r="G40" s="14"/>
      <c r="H40" s="14"/>
      <c r="I40" s="15"/>
      <c r="J40" s="15"/>
      <c r="K40" s="15"/>
      <c r="L40" s="14"/>
      <c r="M40" s="16"/>
      <c r="N40" s="17" t="str">
        <f t="shared" si="0"/>
        <v>fa-home</v>
      </c>
      <c r="O40" s="17" t="str">
        <f t="shared" si="1"/>
        <v/>
      </c>
      <c r="P40" s="17" t="str">
        <f t="shared" si="2"/>
        <v/>
      </c>
      <c r="Q40" s="17" t="str">
        <f t="shared" si="3"/>
        <v/>
      </c>
      <c r="R40" s="17" t="str">
        <f t="shared" si="4"/>
        <v/>
      </c>
      <c r="S40" s="17" t="str">
        <f t="shared" si="5"/>
        <v/>
      </c>
      <c r="T40" s="17" t="str">
        <f t="shared" si="6"/>
        <v/>
      </c>
      <c r="U40" s="18" t="str">
        <f t="shared" si="7"/>
        <v/>
      </c>
      <c r="V40" s="17" t="str">
        <f t="shared" si="8"/>
        <v/>
      </c>
      <c r="W40" s="17" t="str">
        <f t="shared" si="9"/>
        <v/>
      </c>
      <c r="X40" s="17" t="str">
        <f t="shared" si="10"/>
        <v/>
      </c>
      <c r="Y40" s="19" t="str">
        <f t="shared" si="11"/>
        <v/>
      </c>
      <c r="Z40" s="19" t="str">
        <f t="shared" si="12"/>
        <v/>
      </c>
      <c r="AA40" s="17"/>
      <c r="AB40" s="19" t="str">
        <f t="shared" si="13"/>
        <v/>
      </c>
    </row>
    <row r="41" customHeight="1" spans="1:28">
      <c r="A41" s="14"/>
      <c r="B41" s="14"/>
      <c r="C41" s="14"/>
      <c r="D41" s="14"/>
      <c r="E41" s="14"/>
      <c r="F41" s="14"/>
      <c r="G41" s="14"/>
      <c r="H41" s="14"/>
      <c r="I41" s="15"/>
      <c r="J41" s="15"/>
      <c r="K41" s="15"/>
      <c r="L41" s="14"/>
      <c r="M41" s="16"/>
      <c r="N41" s="17" t="str">
        <f t="shared" si="0"/>
        <v>fa-home</v>
      </c>
      <c r="O41" s="17" t="str">
        <f t="shared" si="1"/>
        <v/>
      </c>
      <c r="P41" s="17" t="str">
        <f t="shared" si="2"/>
        <v/>
      </c>
      <c r="Q41" s="17" t="str">
        <f t="shared" si="3"/>
        <v/>
      </c>
      <c r="R41" s="17" t="str">
        <f t="shared" si="4"/>
        <v/>
      </c>
      <c r="S41" s="17" t="str">
        <f t="shared" si="5"/>
        <v/>
      </c>
      <c r="T41" s="17" t="str">
        <f t="shared" si="6"/>
        <v/>
      </c>
      <c r="U41" s="18" t="str">
        <f t="shared" si="7"/>
        <v/>
      </c>
      <c r="V41" s="17" t="str">
        <f t="shared" si="8"/>
        <v/>
      </c>
      <c r="W41" s="17" t="str">
        <f t="shared" si="9"/>
        <v/>
      </c>
      <c r="X41" s="17" t="str">
        <f t="shared" si="10"/>
        <v/>
      </c>
      <c r="Y41" s="19" t="str">
        <f t="shared" si="11"/>
        <v/>
      </c>
      <c r="Z41" s="19" t="str">
        <f t="shared" si="12"/>
        <v/>
      </c>
      <c r="AA41" s="17"/>
      <c r="AB41" s="19" t="str">
        <f t="shared" si="13"/>
        <v/>
      </c>
    </row>
    <row r="42" customHeight="1" spans="1:28">
      <c r="A42" s="14"/>
      <c r="B42" s="14"/>
      <c r="C42" s="14"/>
      <c r="D42" s="14"/>
      <c r="E42" s="14"/>
      <c r="F42" s="14"/>
      <c r="G42" s="14"/>
      <c r="H42" s="14"/>
      <c r="I42" s="15"/>
      <c r="J42" s="15"/>
      <c r="K42" s="15"/>
      <c r="L42" s="14"/>
      <c r="M42" s="16"/>
      <c r="N42" s="17" t="str">
        <f t="shared" si="0"/>
        <v>fa-home</v>
      </c>
      <c r="O42" s="17" t="str">
        <f t="shared" si="1"/>
        <v/>
      </c>
      <c r="P42" s="17" t="str">
        <f t="shared" si="2"/>
        <v/>
      </c>
      <c r="Q42" s="17" t="str">
        <f t="shared" si="3"/>
        <v/>
      </c>
      <c r="R42" s="17" t="str">
        <f t="shared" si="4"/>
        <v/>
      </c>
      <c r="S42" s="17" t="str">
        <f t="shared" si="5"/>
        <v/>
      </c>
      <c r="T42" s="17" t="str">
        <f t="shared" si="6"/>
        <v/>
      </c>
      <c r="U42" s="18" t="str">
        <f t="shared" si="7"/>
        <v/>
      </c>
      <c r="V42" s="17" t="str">
        <f t="shared" si="8"/>
        <v/>
      </c>
      <c r="W42" s="17" t="str">
        <f t="shared" si="9"/>
        <v/>
      </c>
      <c r="X42" s="17" t="str">
        <f t="shared" si="10"/>
        <v/>
      </c>
      <c r="Y42" s="19" t="str">
        <f t="shared" si="11"/>
        <v/>
      </c>
      <c r="Z42" s="19" t="str">
        <f t="shared" si="12"/>
        <v/>
      </c>
      <c r="AA42" s="17"/>
      <c r="AB42" s="19" t="str">
        <f t="shared" si="13"/>
        <v/>
      </c>
    </row>
    <row r="43" customHeight="1" spans="1:28">
      <c r="A43" s="14"/>
      <c r="B43" s="14"/>
      <c r="C43" s="14"/>
      <c r="D43" s="14"/>
      <c r="E43" s="14"/>
      <c r="F43" s="14"/>
      <c r="G43" s="14"/>
      <c r="H43" s="14"/>
      <c r="I43" s="15"/>
      <c r="J43" s="15"/>
      <c r="K43" s="15"/>
      <c r="L43" s="14"/>
      <c r="M43" s="16"/>
      <c r="N43" s="17" t="str">
        <f t="shared" si="0"/>
        <v>fa-home</v>
      </c>
      <c r="O43" s="17" t="str">
        <f t="shared" si="1"/>
        <v/>
      </c>
      <c r="P43" s="17" t="str">
        <f t="shared" si="2"/>
        <v/>
      </c>
      <c r="Q43" s="17" t="str">
        <f t="shared" si="3"/>
        <v/>
      </c>
      <c r="R43" s="17" t="str">
        <f t="shared" si="4"/>
        <v/>
      </c>
      <c r="S43" s="17" t="str">
        <f t="shared" si="5"/>
        <v/>
      </c>
      <c r="T43" s="17" t="str">
        <f t="shared" si="6"/>
        <v/>
      </c>
      <c r="U43" s="18" t="str">
        <f t="shared" si="7"/>
        <v/>
      </c>
      <c r="V43" s="17" t="str">
        <f t="shared" si="8"/>
        <v/>
      </c>
      <c r="W43" s="17" t="str">
        <f t="shared" si="9"/>
        <v/>
      </c>
      <c r="X43" s="17" t="str">
        <f t="shared" si="10"/>
        <v/>
      </c>
      <c r="Y43" s="19" t="str">
        <f t="shared" si="11"/>
        <v/>
      </c>
      <c r="Z43" s="19" t="str">
        <f t="shared" si="12"/>
        <v/>
      </c>
      <c r="AA43" s="17"/>
      <c r="AB43" s="19" t="str">
        <f t="shared" si="13"/>
        <v/>
      </c>
    </row>
    <row r="44" customHeight="1" spans="1:28">
      <c r="A44" s="14"/>
      <c r="B44" s="14"/>
      <c r="C44" s="14"/>
      <c r="D44" s="14"/>
      <c r="E44" s="14"/>
      <c r="F44" s="14"/>
      <c r="G44" s="14"/>
      <c r="H44" s="14"/>
      <c r="I44" s="15"/>
      <c r="J44" s="15"/>
      <c r="K44" s="15"/>
      <c r="L44" s="14"/>
      <c r="M44" s="16"/>
      <c r="N44" s="17" t="str">
        <f t="shared" si="0"/>
        <v>fa-home</v>
      </c>
      <c r="O44" s="17" t="str">
        <f t="shared" si="1"/>
        <v/>
      </c>
      <c r="P44" s="17" t="str">
        <f t="shared" si="2"/>
        <v/>
      </c>
      <c r="Q44" s="17" t="str">
        <f t="shared" si="3"/>
        <v/>
      </c>
      <c r="R44" s="17" t="str">
        <f t="shared" si="4"/>
        <v/>
      </c>
      <c r="S44" s="17" t="str">
        <f t="shared" si="5"/>
        <v/>
      </c>
      <c r="T44" s="17" t="str">
        <f t="shared" si="6"/>
        <v/>
      </c>
      <c r="U44" s="18" t="str">
        <f t="shared" si="7"/>
        <v/>
      </c>
      <c r="V44" s="17" t="str">
        <f t="shared" si="8"/>
        <v/>
      </c>
      <c r="W44" s="17" t="str">
        <f t="shared" si="9"/>
        <v/>
      </c>
      <c r="X44" s="17" t="str">
        <f t="shared" si="10"/>
        <v/>
      </c>
      <c r="Y44" s="19" t="str">
        <f t="shared" si="11"/>
        <v/>
      </c>
      <c r="Z44" s="19" t="str">
        <f t="shared" si="12"/>
        <v/>
      </c>
      <c r="AA44" s="17"/>
      <c r="AB44" s="19" t="str">
        <f t="shared" si="13"/>
        <v/>
      </c>
    </row>
    <row r="45" customHeight="1" spans="1:28">
      <c r="A45" s="14"/>
      <c r="B45" s="14"/>
      <c r="C45" s="14"/>
      <c r="D45" s="14"/>
      <c r="E45" s="14"/>
      <c r="F45" s="14"/>
      <c r="G45" s="14"/>
      <c r="H45" s="14"/>
      <c r="I45" s="15"/>
      <c r="J45" s="15"/>
      <c r="K45" s="15"/>
      <c r="L45" s="14"/>
      <c r="M45" s="16"/>
      <c r="N45" s="17" t="str">
        <f t="shared" si="0"/>
        <v>fa-home</v>
      </c>
      <c r="O45" s="17" t="str">
        <f t="shared" si="1"/>
        <v/>
      </c>
      <c r="P45" s="17" t="str">
        <f t="shared" si="2"/>
        <v/>
      </c>
      <c r="Q45" s="17" t="str">
        <f t="shared" si="3"/>
        <v/>
      </c>
      <c r="R45" s="17" t="str">
        <f t="shared" si="4"/>
        <v/>
      </c>
      <c r="S45" s="17" t="str">
        <f t="shared" si="5"/>
        <v/>
      </c>
      <c r="T45" s="17" t="str">
        <f t="shared" si="6"/>
        <v/>
      </c>
      <c r="U45" s="18" t="str">
        <f t="shared" si="7"/>
        <v/>
      </c>
      <c r="V45" s="17" t="str">
        <f t="shared" si="8"/>
        <v/>
      </c>
      <c r="W45" s="17" t="str">
        <f t="shared" si="9"/>
        <v/>
      </c>
      <c r="X45" s="17" t="str">
        <f t="shared" si="10"/>
        <v/>
      </c>
      <c r="Y45" s="19" t="str">
        <f t="shared" si="11"/>
        <v/>
      </c>
      <c r="Z45" s="19" t="str">
        <f t="shared" si="12"/>
        <v/>
      </c>
      <c r="AA45" s="17"/>
      <c r="AB45" s="19" t="str">
        <f t="shared" si="13"/>
        <v/>
      </c>
    </row>
    <row r="46" customHeight="1" spans="1:28">
      <c r="A46" s="14"/>
      <c r="B46" s="14"/>
      <c r="C46" s="14"/>
      <c r="D46" s="14"/>
      <c r="E46" s="14"/>
      <c r="F46" s="14"/>
      <c r="G46" s="14"/>
      <c r="H46" s="14"/>
      <c r="I46" s="15"/>
      <c r="J46" s="15"/>
      <c r="K46" s="15"/>
      <c r="L46" s="14"/>
      <c r="M46" s="16"/>
      <c r="N46" s="17" t="str">
        <f t="shared" si="0"/>
        <v>fa-home</v>
      </c>
      <c r="O46" s="17" t="str">
        <f t="shared" si="1"/>
        <v/>
      </c>
      <c r="P46" s="17" t="str">
        <f t="shared" si="2"/>
        <v/>
      </c>
      <c r="Q46" s="17" t="str">
        <f t="shared" si="3"/>
        <v/>
      </c>
      <c r="R46" s="17" t="str">
        <f t="shared" si="4"/>
        <v/>
      </c>
      <c r="S46" s="17" t="str">
        <f t="shared" si="5"/>
        <v/>
      </c>
      <c r="T46" s="17" t="str">
        <f t="shared" si="6"/>
        <v/>
      </c>
      <c r="U46" s="18" t="str">
        <f t="shared" si="7"/>
        <v/>
      </c>
      <c r="V46" s="17" t="str">
        <f t="shared" si="8"/>
        <v/>
      </c>
      <c r="W46" s="17" t="str">
        <f t="shared" si="9"/>
        <v/>
      </c>
      <c r="X46" s="17" t="str">
        <f t="shared" si="10"/>
        <v/>
      </c>
      <c r="Y46" s="19" t="str">
        <f t="shared" si="11"/>
        <v/>
      </c>
      <c r="Z46" s="19" t="str">
        <f t="shared" si="12"/>
        <v/>
      </c>
      <c r="AA46" s="17"/>
      <c r="AB46" s="19" t="str">
        <f t="shared" si="13"/>
        <v/>
      </c>
    </row>
    <row r="47" customHeight="1" spans="1:28">
      <c r="A47" s="14"/>
      <c r="B47" s="14"/>
      <c r="C47" s="14"/>
      <c r="D47" s="14"/>
      <c r="E47" s="14"/>
      <c r="F47" s="14"/>
      <c r="G47" s="14"/>
      <c r="H47" s="14"/>
      <c r="I47" s="15"/>
      <c r="J47" s="15"/>
      <c r="K47" s="15"/>
      <c r="L47" s="14"/>
      <c r="M47" s="16"/>
      <c r="N47" s="17" t="str">
        <f t="shared" si="0"/>
        <v>fa-home</v>
      </c>
      <c r="O47" s="17" t="str">
        <f t="shared" si="1"/>
        <v/>
      </c>
      <c r="P47" s="17" t="str">
        <f t="shared" si="2"/>
        <v/>
      </c>
      <c r="Q47" s="17" t="str">
        <f t="shared" si="3"/>
        <v/>
      </c>
      <c r="R47" s="17" t="str">
        <f t="shared" si="4"/>
        <v/>
      </c>
      <c r="S47" s="17" t="str">
        <f t="shared" si="5"/>
        <v/>
      </c>
      <c r="T47" s="17" t="str">
        <f t="shared" si="6"/>
        <v/>
      </c>
      <c r="U47" s="18" t="str">
        <f t="shared" si="7"/>
        <v/>
      </c>
      <c r="V47" s="17" t="str">
        <f t="shared" si="8"/>
        <v/>
      </c>
      <c r="W47" s="17" t="str">
        <f t="shared" si="9"/>
        <v/>
      </c>
      <c r="X47" s="17" t="str">
        <f t="shared" si="10"/>
        <v/>
      </c>
      <c r="Y47" s="19" t="str">
        <f t="shared" si="11"/>
        <v/>
      </c>
      <c r="Z47" s="19" t="str">
        <f t="shared" si="12"/>
        <v/>
      </c>
      <c r="AA47" s="17"/>
      <c r="AB47" s="19" t="str">
        <f t="shared" si="13"/>
        <v/>
      </c>
    </row>
    <row r="48" customHeight="1" spans="1:28">
      <c r="A48" s="14"/>
      <c r="B48" s="14"/>
      <c r="C48" s="14"/>
      <c r="D48" s="14"/>
      <c r="E48" s="14"/>
      <c r="F48" s="14"/>
      <c r="G48" s="14"/>
      <c r="H48" s="14"/>
      <c r="I48" s="15"/>
      <c r="J48" s="15"/>
      <c r="K48" s="15"/>
      <c r="L48" s="14"/>
      <c r="M48" s="16"/>
      <c r="N48" s="17" t="str">
        <f t="shared" si="0"/>
        <v>fa-home</v>
      </c>
      <c r="O48" s="17" t="str">
        <f t="shared" si="1"/>
        <v/>
      </c>
      <c r="P48" s="17" t="str">
        <f t="shared" si="2"/>
        <v/>
      </c>
      <c r="Q48" s="17" t="str">
        <f t="shared" si="3"/>
        <v/>
      </c>
      <c r="R48" s="17" t="str">
        <f t="shared" si="4"/>
        <v/>
      </c>
      <c r="S48" s="17" t="str">
        <f t="shared" si="5"/>
        <v/>
      </c>
      <c r="T48" s="17" t="str">
        <f t="shared" si="6"/>
        <v/>
      </c>
      <c r="U48" s="18" t="str">
        <f t="shared" si="7"/>
        <v/>
      </c>
      <c r="V48" s="17" t="str">
        <f t="shared" si="8"/>
        <v/>
      </c>
      <c r="W48" s="17" t="str">
        <f t="shared" si="9"/>
        <v/>
      </c>
      <c r="X48" s="17" t="str">
        <f t="shared" si="10"/>
        <v/>
      </c>
      <c r="Y48" s="19" t="str">
        <f t="shared" si="11"/>
        <v/>
      </c>
      <c r="Z48" s="19" t="str">
        <f t="shared" si="12"/>
        <v/>
      </c>
      <c r="AA48" s="17"/>
      <c r="AB48" s="19" t="str">
        <f t="shared" si="13"/>
        <v/>
      </c>
    </row>
    <row r="49" customHeight="1" spans="1:28">
      <c r="A49" s="14"/>
      <c r="B49" s="14"/>
      <c r="C49" s="14"/>
      <c r="D49" s="14"/>
      <c r="E49" s="14"/>
      <c r="F49" s="14"/>
      <c r="G49" s="14"/>
      <c r="H49" s="14"/>
      <c r="I49" s="15"/>
      <c r="J49" s="15"/>
      <c r="K49" s="15"/>
      <c r="L49" s="14"/>
      <c r="M49" s="16"/>
      <c r="N49" s="17" t="str">
        <f t="shared" si="0"/>
        <v>fa-home</v>
      </c>
      <c r="O49" s="17" t="str">
        <f t="shared" si="1"/>
        <v/>
      </c>
      <c r="P49" s="17" t="str">
        <f t="shared" si="2"/>
        <v/>
      </c>
      <c r="Q49" s="17" t="str">
        <f t="shared" si="3"/>
        <v/>
      </c>
      <c r="R49" s="17" t="str">
        <f t="shared" si="4"/>
        <v/>
      </c>
      <c r="S49" s="17" t="str">
        <f t="shared" si="5"/>
        <v/>
      </c>
      <c r="T49" s="17" t="str">
        <f t="shared" si="6"/>
        <v/>
      </c>
      <c r="U49" s="18" t="str">
        <f t="shared" si="7"/>
        <v/>
      </c>
      <c r="V49" s="17" t="str">
        <f t="shared" si="8"/>
        <v/>
      </c>
      <c r="W49" s="17" t="str">
        <f t="shared" si="9"/>
        <v/>
      </c>
      <c r="X49" s="17" t="str">
        <f t="shared" si="10"/>
        <v/>
      </c>
      <c r="Y49" s="19" t="str">
        <f t="shared" si="11"/>
        <v/>
      </c>
      <c r="Z49" s="19" t="str">
        <f t="shared" si="12"/>
        <v/>
      </c>
      <c r="AA49" s="17"/>
      <c r="AB49" s="19" t="str">
        <f t="shared" si="13"/>
        <v/>
      </c>
    </row>
    <row r="50" customHeight="1" spans="1:28">
      <c r="A50" s="14"/>
      <c r="B50" s="14"/>
      <c r="C50" s="14"/>
      <c r="D50" s="14"/>
      <c r="E50" s="14"/>
      <c r="F50" s="14"/>
      <c r="G50" s="14"/>
      <c r="H50" s="14"/>
      <c r="I50" s="15"/>
      <c r="J50" s="15"/>
      <c r="K50" s="15"/>
      <c r="L50" s="14"/>
      <c r="M50" s="16"/>
      <c r="N50" s="17" t="str">
        <f t="shared" si="0"/>
        <v>fa-home</v>
      </c>
      <c r="O50" s="17" t="str">
        <f t="shared" si="1"/>
        <v/>
      </c>
      <c r="P50" s="17" t="str">
        <f t="shared" si="2"/>
        <v/>
      </c>
      <c r="Q50" s="17" t="str">
        <f t="shared" si="3"/>
        <v/>
      </c>
      <c r="R50" s="17" t="str">
        <f t="shared" si="4"/>
        <v/>
      </c>
      <c r="S50" s="17" t="str">
        <f t="shared" si="5"/>
        <v/>
      </c>
      <c r="T50" s="17" t="str">
        <f t="shared" si="6"/>
        <v/>
      </c>
      <c r="U50" s="18" t="str">
        <f t="shared" si="7"/>
        <v/>
      </c>
      <c r="V50" s="17" t="str">
        <f t="shared" si="8"/>
        <v/>
      </c>
      <c r="W50" s="17" t="str">
        <f t="shared" si="9"/>
        <v/>
      </c>
      <c r="X50" s="17" t="str">
        <f t="shared" si="10"/>
        <v/>
      </c>
      <c r="Y50" s="19" t="str">
        <f t="shared" si="11"/>
        <v/>
      </c>
      <c r="Z50" s="19" t="str">
        <f t="shared" si="12"/>
        <v/>
      </c>
      <c r="AA50" s="17"/>
      <c r="AB50" s="19" t="str">
        <f t="shared" si="13"/>
        <v/>
      </c>
    </row>
    <row r="51" customHeight="1" spans="1:28">
      <c r="A51" s="14"/>
      <c r="B51" s="14"/>
      <c r="C51" s="14"/>
      <c r="D51" s="14"/>
      <c r="E51" s="14"/>
      <c r="F51" s="14"/>
      <c r="G51" s="14"/>
      <c r="H51" s="14"/>
      <c r="I51" s="15"/>
      <c r="J51" s="15"/>
      <c r="K51" s="15"/>
      <c r="L51" s="14"/>
      <c r="M51" s="16"/>
      <c r="N51" s="17" t="str">
        <f t="shared" si="0"/>
        <v>fa-home</v>
      </c>
      <c r="O51" s="17" t="str">
        <f t="shared" si="1"/>
        <v/>
      </c>
      <c r="P51" s="17" t="str">
        <f t="shared" si="2"/>
        <v/>
      </c>
      <c r="Q51" s="17" t="str">
        <f t="shared" si="3"/>
        <v/>
      </c>
      <c r="R51" s="17" t="str">
        <f t="shared" si="4"/>
        <v/>
      </c>
      <c r="S51" s="17" t="str">
        <f t="shared" si="5"/>
        <v/>
      </c>
      <c r="T51" s="17" t="str">
        <f t="shared" si="6"/>
        <v/>
      </c>
      <c r="U51" s="18" t="str">
        <f t="shared" si="7"/>
        <v/>
      </c>
      <c r="V51" s="17" t="str">
        <f t="shared" si="8"/>
        <v/>
      </c>
      <c r="W51" s="17" t="str">
        <f t="shared" si="9"/>
        <v/>
      </c>
      <c r="X51" s="17" t="str">
        <f t="shared" si="10"/>
        <v/>
      </c>
      <c r="Y51" s="19" t="str">
        <f t="shared" si="11"/>
        <v/>
      </c>
      <c r="Z51" s="19" t="str">
        <f t="shared" si="12"/>
        <v/>
      </c>
      <c r="AA51" s="17"/>
      <c r="AB51" s="19" t="str">
        <f t="shared" si="13"/>
        <v/>
      </c>
    </row>
    <row r="52" customHeight="1" spans="1:28">
      <c r="A52" s="14"/>
      <c r="B52" s="14"/>
      <c r="C52" s="14"/>
      <c r="D52" s="14"/>
      <c r="E52" s="14"/>
      <c r="F52" s="14"/>
      <c r="G52" s="14"/>
      <c r="H52" s="14"/>
      <c r="I52" s="15"/>
      <c r="J52" s="15"/>
      <c r="K52" s="15"/>
      <c r="L52" s="14"/>
      <c r="M52" s="16"/>
      <c r="N52" s="17" t="str">
        <f t="shared" si="0"/>
        <v>fa-home</v>
      </c>
      <c r="O52" s="17" t="str">
        <f t="shared" si="1"/>
        <v/>
      </c>
      <c r="P52" s="17" t="str">
        <f t="shared" si="2"/>
        <v/>
      </c>
      <c r="Q52" s="17" t="str">
        <f t="shared" si="3"/>
        <v/>
      </c>
      <c r="R52" s="17" t="str">
        <f t="shared" si="4"/>
        <v/>
      </c>
      <c r="S52" s="17" t="str">
        <f t="shared" si="5"/>
        <v/>
      </c>
      <c r="T52" s="17" t="str">
        <f t="shared" si="6"/>
        <v/>
      </c>
      <c r="U52" s="18" t="str">
        <f t="shared" si="7"/>
        <v/>
      </c>
      <c r="V52" s="17" t="str">
        <f t="shared" si="8"/>
        <v/>
      </c>
      <c r="W52" s="17" t="str">
        <f t="shared" si="9"/>
        <v/>
      </c>
      <c r="X52" s="17" t="str">
        <f t="shared" si="10"/>
        <v/>
      </c>
      <c r="Y52" s="19" t="str">
        <f t="shared" si="11"/>
        <v/>
      </c>
      <c r="Z52" s="19" t="str">
        <f t="shared" si="12"/>
        <v/>
      </c>
      <c r="AA52" s="17"/>
      <c r="AB52" s="19" t="str">
        <f t="shared" si="13"/>
        <v/>
      </c>
    </row>
    <row r="53" customHeight="1" spans="1:28">
      <c r="A53" s="14"/>
      <c r="B53" s="14"/>
      <c r="C53" s="14"/>
      <c r="D53" s="14"/>
      <c r="E53" s="14"/>
      <c r="F53" s="14"/>
      <c r="G53" s="14"/>
      <c r="H53" s="14"/>
      <c r="I53" s="15"/>
      <c r="J53" s="15"/>
      <c r="K53" s="15"/>
      <c r="L53" s="14"/>
      <c r="M53" s="16"/>
      <c r="N53" s="17" t="str">
        <f t="shared" si="0"/>
        <v>fa-home</v>
      </c>
      <c r="O53" s="17" t="str">
        <f t="shared" si="1"/>
        <v/>
      </c>
      <c r="P53" s="17" t="str">
        <f t="shared" si="2"/>
        <v/>
      </c>
      <c r="Q53" s="17" t="str">
        <f t="shared" si="3"/>
        <v/>
      </c>
      <c r="R53" s="17" t="str">
        <f t="shared" si="4"/>
        <v/>
      </c>
      <c r="S53" s="17" t="str">
        <f t="shared" si="5"/>
        <v/>
      </c>
      <c r="T53" s="17" t="str">
        <f t="shared" si="6"/>
        <v/>
      </c>
      <c r="U53" s="18" t="str">
        <f t="shared" si="7"/>
        <v/>
      </c>
      <c r="V53" s="17" t="str">
        <f t="shared" si="8"/>
        <v/>
      </c>
      <c r="W53" s="17" t="str">
        <f t="shared" si="9"/>
        <v/>
      </c>
      <c r="X53" s="17" t="str">
        <f t="shared" si="10"/>
        <v/>
      </c>
      <c r="Y53" s="19" t="str">
        <f t="shared" si="11"/>
        <v/>
      </c>
      <c r="Z53" s="19" t="str">
        <f t="shared" si="12"/>
        <v/>
      </c>
      <c r="AA53" s="17"/>
      <c r="AB53" s="19" t="str">
        <f t="shared" si="13"/>
        <v/>
      </c>
    </row>
    <row r="54" customHeight="1" spans="1:28">
      <c r="A54" s="14"/>
      <c r="B54" s="14"/>
      <c r="C54" s="14"/>
      <c r="D54" s="14"/>
      <c r="E54" s="14"/>
      <c r="F54" s="14"/>
      <c r="G54" s="14"/>
      <c r="H54" s="14"/>
      <c r="I54" s="15"/>
      <c r="J54" s="15"/>
      <c r="K54" s="15"/>
      <c r="L54" s="14"/>
      <c r="M54" s="16"/>
      <c r="N54" s="17" t="str">
        <f t="shared" si="0"/>
        <v>fa-home</v>
      </c>
      <c r="O54" s="17" t="str">
        <f t="shared" si="1"/>
        <v/>
      </c>
      <c r="P54" s="17" t="str">
        <f t="shared" si="2"/>
        <v/>
      </c>
      <c r="Q54" s="17" t="str">
        <f t="shared" si="3"/>
        <v/>
      </c>
      <c r="R54" s="17" t="str">
        <f t="shared" si="4"/>
        <v/>
      </c>
      <c r="S54" s="17" t="str">
        <f t="shared" si="5"/>
        <v/>
      </c>
      <c r="T54" s="17" t="str">
        <f t="shared" si="6"/>
        <v/>
      </c>
      <c r="U54" s="18" t="str">
        <f t="shared" si="7"/>
        <v/>
      </c>
      <c r="V54" s="17" t="str">
        <f t="shared" si="8"/>
        <v/>
      </c>
      <c r="W54" s="17" t="str">
        <f t="shared" si="9"/>
        <v/>
      </c>
      <c r="X54" s="17" t="str">
        <f t="shared" si="10"/>
        <v/>
      </c>
      <c r="Y54" s="19" t="str">
        <f t="shared" si="11"/>
        <v/>
      </c>
      <c r="Z54" s="19" t="str">
        <f t="shared" si="12"/>
        <v/>
      </c>
      <c r="AA54" s="17"/>
      <c r="AB54" s="19" t="str">
        <f t="shared" si="13"/>
        <v/>
      </c>
    </row>
  </sheetData>
  <mergeCells count="7">
    <mergeCell ref="A1:Q1"/>
    <mergeCell ref="A2:M2"/>
    <mergeCell ref="E2:G2"/>
    <mergeCell ref="H2:J2"/>
    <mergeCell ref="K2:M2"/>
    <mergeCell ref="L2:X2"/>
    <mergeCell ref="N2:AB2"/>
  </mergeCells>
  <conditionalFormatting sqref="A5:A32">
    <cfRule type="containsText" dxfId="0" priority="2" operator="between" text="inactive">
      <formula>NOT(ISERROR(SEARCH("inactive",A5)))</formula>
    </cfRule>
  </conditionalFormatting>
  <dataValidations count="8">
    <dataValidation type="list" allowBlank="1" sqref="A5:A54">
      <formula1>"active,inactive"</formula1>
    </dataValidation>
    <dataValidation type="list" allowBlank="1" sqref="B5:B54">
      <formula1>"🏢 Condo 公寓,🏠 Apartment 单位,🌿 即租即住,🌿 近国际学校,📌 商业旺铺,🌟 海景豪宅,📈 投资优选,🏞️ 花园住宅,🌟 2026全新地标,📈 海外投资优选,🌆 核心地段,🔥 限时优惠,✅ 永久产权,🏅 高回报,🏖️ 度假胜地,🏫 学区优选,🛣️ 交通便利,🔑 即买即住"</formula1>
    </dataValidation>
    <dataValidation type="list" allowBlank="1" sqref="E5:E54">
      <formula1>"Studio,1,2,3,4,5,6"</formula1>
    </dataValidation>
    <dataValidation type="list" allowBlank="1" sqref="F5:F54">
      <formula1>"1,2,3,4,5"</formula1>
    </dataValidation>
    <dataValidation type="list" allowBlank="1" sqref="I5:I54">
      <formula1>"24小时保安,保安亭,无保安"</formula1>
    </dataValidation>
    <dataValidation type="list" allowBlank="1" sqref="J5:J54">
      <formula1>"CCTV监控,无CCTV监控"</formula1>
    </dataValidation>
    <dataValidation type="list" allowBlank="1" sqref="K5:K54">
      <formula1>"等级1门禁,等级2门禁,等级3门禁,等级4门禁,等级5门禁,等级6门禁,无门禁"</formula1>
    </dataValidation>
    <dataValidation type="list" allowBlank="1" sqref="M5:M54">
      <formula1>"已出租 Rented,已售出 Sold,装修中 Renovating,议价空间 Negotiable,业主急售 Urgent,新上市 New Listing,独家代理 Exclusive,联系业主 Contact Owner,看房需预约 By Appt,短租可议 Short Stay"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36209"/>
  </sheetPr>
  <dimension ref="A1:AB54"/>
  <sheetViews>
    <sheetView showGridLines="0" workbookViewId="0">
      <pane ySplit="4" topLeftCell="A5" activePane="bottomLeft" state="frozen"/>
      <selection/>
      <selection pane="bottomLeft" activeCell="A1" sqref="A1:Q1"/>
    </sheetView>
  </sheetViews>
  <sheetFormatPr defaultColWidth="8.67619047619048" defaultRowHeight="15"/>
  <cols>
    <col min="1" max="1" width="10" style="1" customWidth="1"/>
    <col min="2" max="3" width="18" style="1" customWidth="1"/>
    <col min="4" max="4" width="26" style="1" customWidth="1"/>
    <col min="5" max="7" width="10" style="1" customWidth="1"/>
    <col min="8" max="8" width="22" style="1" customWidth="1"/>
    <col min="9" max="11" width="14" style="1" customWidth="1"/>
    <col min="12" max="14" width="12" style="1" customWidth="1"/>
    <col min="15" max="17" width="24" style="1" customWidth="1"/>
    <col min="18" max="21" width="30" style="1" customWidth="1"/>
    <col min="22" max="24" width="20" style="1" customWidth="1"/>
    <col min="25" max="26" width="30" style="1" customWidth="1"/>
    <col min="27" max="27" width="5" style="1" customWidth="1"/>
    <col min="28" max="28" width="30" style="1" customWidth="1"/>
  </cols>
  <sheetData>
    <row r="1" ht="31.5" customHeight="1" spans="1:28">
      <c r="A1" s="2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</row>
    <row r="2" ht="21.75" customHeight="1" spans="1:28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36" customHeight="1" spans="1:28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 t="s">
        <v>54</v>
      </c>
      <c r="I3" s="6" t="s">
        <v>55</v>
      </c>
      <c r="J3" s="7" t="s">
        <v>56</v>
      </c>
      <c r="K3" s="6" t="s">
        <v>57</v>
      </c>
      <c r="L3" s="5" t="s">
        <v>58</v>
      </c>
      <c r="M3" s="8" t="s">
        <v>59</v>
      </c>
      <c r="N3" s="9" t="s">
        <v>60</v>
      </c>
      <c r="O3" s="10" t="s">
        <v>61</v>
      </c>
      <c r="P3" s="9" t="s">
        <v>62</v>
      </c>
      <c r="Q3" s="9" t="s">
        <v>63</v>
      </c>
      <c r="R3" s="10" t="s">
        <v>64</v>
      </c>
      <c r="S3" s="9" t="s">
        <v>65</v>
      </c>
      <c r="T3" s="9" t="s">
        <v>66</v>
      </c>
      <c r="U3" s="10" t="s">
        <v>67</v>
      </c>
      <c r="V3" s="10" t="s">
        <v>68</v>
      </c>
      <c r="W3" s="9" t="s">
        <v>69</v>
      </c>
      <c r="X3" s="9" t="s">
        <v>70</v>
      </c>
      <c r="Y3" s="11" t="s">
        <v>71</v>
      </c>
      <c r="Z3" s="11" t="s">
        <v>72</v>
      </c>
      <c r="AA3" s="9" t="s">
        <v>73</v>
      </c>
      <c r="AB3" s="11" t="s">
        <v>74</v>
      </c>
    </row>
    <row r="4" ht="18" customHeight="1" spans="1:28">
      <c r="A4" s="12" t="s">
        <v>75</v>
      </c>
      <c r="B4" s="12" t="s">
        <v>76</v>
      </c>
      <c r="C4" s="12" t="s">
        <v>77</v>
      </c>
      <c r="D4" s="13" t="s">
        <v>78</v>
      </c>
      <c r="E4" s="12" t="s">
        <v>79</v>
      </c>
      <c r="F4" s="12" t="s">
        <v>80</v>
      </c>
      <c r="G4" s="12" t="s">
        <v>81</v>
      </c>
      <c r="H4" s="13" t="s">
        <v>82</v>
      </c>
      <c r="I4" s="12" t="s">
        <v>83</v>
      </c>
      <c r="J4" s="12" t="s">
        <v>84</v>
      </c>
      <c r="K4" s="13" t="s">
        <v>85</v>
      </c>
      <c r="L4" s="12" t="s">
        <v>86</v>
      </c>
      <c r="M4" s="13" t="s">
        <v>87</v>
      </c>
    </row>
    <row r="5" ht="51.75" customHeight="1" spans="1:28">
      <c r="A5" s="14"/>
      <c r="B5" s="14"/>
      <c r="C5" s="14"/>
      <c r="D5" s="14"/>
      <c r="E5" s="14"/>
      <c r="F5" s="14"/>
      <c r="G5" s="14"/>
      <c r="H5" s="14"/>
      <c r="I5" s="15"/>
      <c r="J5" s="15"/>
      <c r="K5" s="15"/>
      <c r="L5" s="14"/>
      <c r="M5" s="16"/>
      <c r="N5" s="17" t="str">
        <f t="shared" ref="N5:N54" si="0">IFERROR(_xlfn.IFS(B5="🏢 Condo 公寓","fa-building",B5="🏠 Apartment 单位","fa-home",B5="🌿 即租即住","fa-home",B5="🌿 近国际学校","fa-school",B5="📌 商业旺铺","fa-store",B5="🌟 海景豪宅","fa-water-ladder",B5="📈 投资优选","fa-chart-line",B5="🏞️ 花园住宅","fa-tree",B5="🌟 2026全新地标","fa-drafting-compass",B5="📈 海外投资优选","fa-globe",B5="🌆 核心地段","fa-city",B5="🔥 限时优惠","fa-fire",B5="✅ 永久产权","fa-certificate",B5="🏅 高回报","fa-medal",B5="🏖️ 度假胜地","fa-umbrella-beach",B5="🏫 学区优选","fa-graduation-cap",B5="🛣️ 交通便利","fa-road",B5="🔑 即买即住","fa-key"),"fa-home")</f>
        <v>fa-home</v>
      </c>
      <c r="O5" s="17" t="str">
        <f t="shared" ref="O5:O54" si="1">IF(D5&lt;&gt;"",D5,"")</f>
        <v/>
      </c>
      <c r="P5" s="17" t="str">
        <f t="shared" ref="P5:P54" si="2">IF(D5&lt;&gt;"",SUBSTITUTE(SUBSTITUTE(SUBSTITUTE(SUBSTITUTE(SUBSTITUTE(SUBSTITUTE(SUBSTITUTE(SUBSTITUTE(SUBSTITUTE(SUBSTITUTE(D5,"亚庇","Kota Kinabalu"),"公寓","Condo"),"排屋","Terrace"),"别墅","Villa"),"店铺","Shop"),"新山","Johor Bahru"),"市中心","City Centre"),"高级","Premium"),"单位","Unit"),"住宅","Residence"),"")</f>
        <v/>
      </c>
      <c r="Q5" s="17" t="str">
        <f t="shared" ref="Q5:Q54" si="3">IF(D5&lt;&gt;"",SUBSTITUTE(SUBSTITUTE(SUBSTITUTE(SUBSTITUTE(SUBSTITUTE(SUBSTITUTE(SUBSTITUTE(SUBSTITUTE(SUBSTITUTE(SUBSTITUTE(D5,"亚庇","Kota Kinabalu"),"公寓","Kondominium"),"排屋","Rumah Teres"),"别墅","Vila"),"店铺","Kedai"),"新山","Johor Bahru"),"市中心","Pusat Bandar"),"高级","Premium"),"单位","Unit"),"住宅","Kediaman"),"")</f>
        <v/>
      </c>
      <c r="R5" s="17" t="str">
        <f t="shared" ref="R5:R54" si="4">IF(D5&lt;&gt;"","📍 "&amp;IF(E5&lt;&gt;"",E5&amp;"房","")&amp;IF(F5&lt;&gt;"",F5&amp;"卫 ","")&amp;IF(G5&lt;&gt;"",G5&amp;" sqft","")&amp;IF(AND(OR(E5&lt;&gt;"",G5&lt;&gt;""),H5&lt;&gt;"")," · ","")&amp;IF(H5&lt;&gt;"",H5,""),"")</f>
        <v/>
      </c>
      <c r="S5" s="17" t="str">
        <f t="shared" ref="S5:S54" si="5">IF(D5&lt;&gt;"","📍 "&amp;IF(E5&lt;&gt;"",E5&amp;"BR ","")&amp;IF(F5&lt;&gt;"",F5&amp;"BA ","")&amp;IF(G5&lt;&gt;"",G5&amp;" sqft","")&amp;IF(AND(OR(E5&lt;&gt;"",G5&lt;&gt;""),H5&lt;&gt;"")," · ","")&amp;IF(H5&lt;&gt;"",SUBSTITUTE(SUBSTITUTE(SUBSTITUTE(SUBSTITUTE(SUBSTITUTE(SUBSTITUTE(SUBSTITUTE(SUBSTITUTE(SUBSTITUTE(SUBSTITUTE(H5,"游泳池","Swimming Pool"),"健身室","Gym"),"儿童乐园","Kids Play Area"),"BBQ区","BBQ Area"),"会所","Clubhouse"),"网球场","Tennis Court"),"篮球场","Basketball Court"),"停车场","Parking"),"便利店","Mini Mart"),"咖啡厅","Cafe"),""),"")</f>
        <v/>
      </c>
      <c r="T5" s="17" t="str">
        <f t="shared" ref="T5:T54" si="6">IF(D5&lt;&gt;"","📍 "&amp;IF(E5&lt;&gt;"",E5&amp;"Bilik ","")&amp;IF(F5&lt;&gt;"",F5&amp;"Bilik Air ","")&amp;IF(G5&lt;&gt;"",G5&amp;" sqft","")&amp;IF(AND(OR(E5&lt;&gt;"",G5&lt;&gt;""),H5&lt;&gt;"")," · ","")&amp;IF(H5&lt;&gt;"",SUBSTITUTE(SUBSTITUTE(SUBSTITUTE(SUBSTITUTE(SUBSTITUTE(SUBSTITUTE(SUBSTITUTE(SUBSTITUTE(SUBSTITUTE(SUBSTITUTE(H5,"游泳池","Kolam Renang"),"健身室","Gim"),"儿童乐园","Kawasan Permainan"),"BBQ区","Kawasan BBQ"),"会所","Kelab"),"网球场","Gelanggang Tenis"),"篮球场","Gelanggang Bola"),"停车场","Tempat Letak"),"便利店","Kedai Mini"),"咖啡厅","Kafe"),""),"")</f>
        <v/>
      </c>
      <c r="U5" s="18" t="str">
        <f t="shared" ref="U5:U54" si="7">IF(OR(I5&lt;&gt;"",J5&lt;&gt;"",K5&lt;&gt;""),"🔒 "&amp;IF(I5&lt;&gt;"",I5,"")&amp;IF(AND(I5&lt;&gt;"",J5&lt;&gt;"")," · ","")&amp;IF(J5&lt;&gt;"",J5,"")&amp;IF(AND(OR(I5&lt;&gt;"",J5&lt;&gt;""),K5&lt;&gt;"")," · ","")&amp;IF(K5&lt;&gt;"",K5,""),"")</f>
        <v/>
      </c>
      <c r="V5" s="17" t="str">
        <f t="shared" ref="V5:V54" si="8">IF(L5&lt;&gt;"","💰 起价 RM "&amp;TEXT(L5,"#,##0"),"")</f>
        <v/>
      </c>
      <c r="W5" s="17" t="str">
        <f t="shared" ref="W5:W54" si="9">IF(L5&lt;&gt;"","💰 From RM "&amp;TEXT(L5,"#,##0"),"")</f>
        <v/>
      </c>
      <c r="X5" s="17" t="str">
        <f t="shared" ref="X5:X54" si="10">IF(L5&lt;&gt;"","💰 Dari RM "&amp;TEXT(L5,"#,##0"),"")</f>
        <v/>
      </c>
      <c r="Y5" s="19" t="str">
        <f t="shared" ref="Y5:Y54" si="11">IF(D5&lt;&gt;"","您好！我想咨询新楼盘：
🏠 "&amp;D5&amp;"
"&amp;IF(E5&lt;&gt;"","🛏 "&amp;E5&amp;"房"&amp;IF(F5&lt;&gt;""," "&amp;F5&amp;"卫","")&amp;"
","")&amp;IF(G5&lt;&gt;"","📐 "&amp;G5&amp;" sqft
","")&amp;IF(H5&lt;&gt;"","🏊 "&amp;H5&amp;"
","")&amp;IF(U5&lt;&gt;"",U5&amp;"
","")&amp;IF(L5&lt;&gt;"","💰 起价 RM "&amp;TEXT(L5,"#,##0")&amp;"
","")&amp;"
请问还有空档吗？谢谢！","")</f>
        <v/>
      </c>
      <c r="Z5" s="19" t="str">
        <f t="shared" ref="Z5:Z54" si="12">IF(D5&lt;&gt;"","Hi! I'd like to make a new launch enquiry:
🏠 "&amp;P5&amp;"
"&amp;IF(E5&lt;&gt;"","🛏 "&amp;E5&amp;"BR"&amp;IF(F5&lt;&gt;""," "&amp;F5&amp;"BA","")&amp;"
","")&amp;IF(G5&lt;&gt;"","📐 "&amp;G5&amp;" sqft
","")&amp;IF(H5&lt;&gt;"","🏊 "&amp;SUBSTITUTE(SUBSTITUTE(SUBSTITUTE(SUBSTITUTE(SUBSTITUTE(SUBSTITUTE(SUBSTITUTE(SUBSTITUTE(SUBSTITUTE(SUBSTITUTE(H5,"游泳池","Swimming Pool"),"健身室","Gym"),"儿童乐园","Kids Play Area"),"BBQ区","BBQ Area"),"会所","Clubhouse"),"网球场","Tennis Court"),"篮球场","Basketball Court"),"停车场","Parking"),"便利店","Mini Mart"),"咖啡厅","Cafe")&amp;"
","")&amp;IF(IF(OR(I5&lt;&gt;"",J5&lt;&gt;"",K5&lt;&gt;""),"🔒 "&amp;IF(I5&lt;&gt;"",SUBSTITUTE(SUBSTITUTE(SUBSTITUTE(SUBSTITUTE(SUBSTITUTE(SUBSTITUTE(SUBSTITUTE(SUBSTITUTE(SUBSTITUTE(SUBSTITUTE(SUBSTITUTE(SUBSTITUTE(I5,"24小时保安","24hr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Control"),"")&amp;IF(AND(I5&lt;&gt;"",OR(J5&lt;&gt;"",K5&lt;&gt;""))," · ","")&amp;IF(J5&lt;&gt;"",SUBSTITUTE(SUBSTITUTE(SUBSTITUTE(SUBSTITUTE(SUBSTITUTE(SUBSTITUTE(SUBSTITUTE(SUBSTITUTE(SUBSTITUTE(SUBSTITUTE(SUBSTITUTE(SUBSTITUTE(J5,"24小时保安","24hr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Control"),"")&amp;IF(AND(J5&lt;&gt;"",K5&lt;&gt;"")," · ","")&amp;IF(K5&lt;&gt;"",SUBSTITUTE(SUBSTITUTE(SUBSTITUTE(SUBSTITUTE(SUBSTITUTE(SUBSTITUTE(SUBSTITUTE(SUBSTITUTE(SUBSTITUTE(SUBSTITUTE(SUBSTITUTE(SUBSTITUTE(K5,"24小时保安","24hr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Control"),""),"")&lt;&gt;"",IF(OR(I5&lt;&gt;"",J5&lt;&gt;"",K5&lt;&gt;""),"🔒 "&amp;IF(I5&lt;&gt;"",SUBSTITUTE(SUBSTITUTE(SUBSTITUTE(SUBSTITUTE(SUBSTITUTE(SUBSTITUTE(SUBSTITUTE(SUBSTITUTE(SUBSTITUTE(SUBSTITUTE(SUBSTITUTE(SUBSTITUTE(I5,"24小时保安","24hr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Control"),"")&amp;IF(AND(I5&lt;&gt;"",OR(J5&lt;&gt;"",K5&lt;&gt;""))," · ","")&amp;IF(J5&lt;&gt;"",SUBSTITUTE(SUBSTITUTE(SUBSTITUTE(SUBSTITUTE(SUBSTITUTE(SUBSTITUTE(SUBSTITUTE(SUBSTITUTE(SUBSTITUTE(SUBSTITUTE(SUBSTITUTE(SUBSTITUTE(J5,"24小时保安","24hr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Control"),"")&amp;IF(AND(J5&lt;&gt;"",K5&lt;&gt;"")," · ","")&amp;IF(K5&lt;&gt;"",SUBSTITUTE(SUBSTITUTE(SUBSTITUTE(SUBSTITUTE(SUBSTITUTE(SUBSTITUTE(SUBSTITUTE(SUBSTITUTE(SUBSTITUTE(SUBSTITUTE(SUBSTITUTE(SUBSTITUTE(K5,"24小时保安","24hr Guard"),"保安亭","Guardhouse"),"无保安","No Guard"),"CCTV监控","CCTV"),"无CCTV监控","No CCTV"),"等级1门禁","Lvl 1 Access"),"等级2门禁","Lvl 2 Access"),"等级3门禁","Lvl 3 Access"),"等级4门禁","Lvl 4 Access"),"等级5门禁","Lvl 5 Access"),"等级6门禁","Lvl 6 Access"),"无门禁","No Access Control"),""),"")&amp;"
","")&amp;IF(L5&lt;&gt;"","💰 From RM "&amp;TEXT(L5,"#,##0")&amp;"
","")&amp;"
Is this still available? Thank you!","")</f>
        <v/>
      </c>
      <c r="AA5" s="17"/>
      <c r="AB5" s="19" t="str">
        <f t="shared" ref="AB5:AB54" si="13">IF(D5&lt;&gt;"","Helo! Saya ingin membuat pertanyaan projek baru:
🏠 "&amp;Q5&amp;"
"&amp;IF(E5&lt;&gt;"","🛏 "&amp;E5&amp;"Bilik"&amp;IF(F5&lt;&gt;""," "&amp;F5&amp;"Bilik Air","")&amp;"
","")&amp;IF(G5&lt;&gt;"","📐 "&amp;G5&amp;" sqft
","")&amp;IF(H5&lt;&gt;"","🏊 "&amp;SUBSTITUTE(SUBSTITUTE(SUBSTITUTE(SUBSTITUTE(SUBSTITUTE(SUBSTITUTE(SUBSTITUTE(SUBSTITUTE(SUBSTITUTE(SUBSTITUTE(H5,"游泳池","Kolam Renang"),"健身室","Gim"),"儿童乐园","Kawasan Permainan"),"BBQ区","Kawasan BBQ"),"会所","Kelab"),"网球场","Gelanggang Tenis"),"篮球场","Gelanggang Bola"),"停车场","Tempat Letak"),"便利店","Kedai Mini"),"咖啡厅","Kafe")&amp;"
","")&amp;IF(IF(OR(I5&lt;&gt;"",J5&lt;&gt;"",K5&lt;&gt;""),"🔒 "&amp;IF(I5&lt;&gt;"",SUBSTITUTE(SUBSTITUTE(SUBSTITUTE(SUBSTITUTE(SUBSTITUTE(SUBSTITUTE(SUBSTITUTE(SUBSTITUTE(SUBSTITUTE(SUBSTITUTE(SUBSTITUTE(SUBSTITUTE(I5,"24小时保安","Pengawal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Kawalan"),"")&amp;IF(AND(I5&lt;&gt;"",OR(J5&lt;&gt;"",K5&lt;&gt;""))," · ","")&amp;IF(J5&lt;&gt;"",SUBSTITUTE(SUBSTITUTE(SUBSTITUTE(SUBSTITUTE(SUBSTITUTE(SUBSTITUTE(SUBSTITUTE(SUBSTITUTE(SUBSTITUTE(SUBSTITUTE(SUBSTITUTE(SUBSTITUTE(J5,"24小时保安","Pengawal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Kawalan"),"")&amp;IF(AND(J5&lt;&gt;"",K5&lt;&gt;"")," · ","")&amp;IF(K5&lt;&gt;"",SUBSTITUTE(SUBSTITUTE(SUBSTITUTE(SUBSTITUTE(SUBSTITUTE(SUBSTITUTE(SUBSTITUTE(SUBSTITUTE(SUBSTITUTE(SUBSTITUTE(SUBSTITUTE(SUBSTITUTE(K5,"24小时保安","Pengawal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Kawalan"),""),"")&lt;&gt;"",IF(OR(I5&lt;&gt;"",J5&lt;&gt;"",K5&lt;&gt;""),"🔒 "&amp;IF(I5&lt;&gt;"",SUBSTITUTE(SUBSTITUTE(SUBSTITUTE(SUBSTITUTE(SUBSTITUTE(SUBSTITUTE(SUBSTITUTE(SUBSTITUTE(SUBSTITUTE(SUBSTITUTE(SUBSTITUTE(SUBSTITUTE(I5,"24小时保安","Pengawal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Kawalan"),"")&amp;IF(AND(I5&lt;&gt;"",OR(J5&lt;&gt;"",K5&lt;&gt;""))," · ","")&amp;IF(J5&lt;&gt;"",SUBSTITUTE(SUBSTITUTE(SUBSTITUTE(SUBSTITUTE(SUBSTITUTE(SUBSTITUTE(SUBSTITUTE(SUBSTITUTE(SUBSTITUTE(SUBSTITUTE(SUBSTITUTE(SUBSTITUTE(J5,"24小时保安","Pengawal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Kawalan"),"")&amp;IF(AND(J5&lt;&gt;"",K5&lt;&gt;"")," · ","")&amp;IF(K5&lt;&gt;"",SUBSTITUTE(SUBSTITUTE(SUBSTITUTE(SUBSTITUTE(SUBSTITUTE(SUBSTITUTE(SUBSTITUTE(SUBSTITUTE(SUBSTITUTE(SUBSTITUTE(SUBSTITUTE(SUBSTITUTE(K5,"24小时保安","Pengawal 24j"),"保安亭","Guardhouse"),"无保安","Tiada Pengawal"),"CCTV监控","CCTV"),"无CCTV监控","Tiada CCTV"),"等级1门禁","Akses Thn 1"),"等级2门禁","Akses Thn 2"),"等级3门禁","Akses Thn 3"),"等级4门禁","Akses Thn 4"),"等级5门禁","Akses Thn 5"),"等级6门禁","Akses Thn 6"),"无门禁","Tiada Kawalan"),""),"")&amp;"
","")&amp;IF(L5&lt;&gt;"","💰 Dari RM "&amp;TEXT(L5,"#,##0")&amp;"
","")&amp;"
Adakah masih tersedia? Terima kasih!","")</f>
        <v/>
      </c>
    </row>
    <row r="6" ht="51.75" customHeight="1" spans="1:28">
      <c r="A6" s="14"/>
      <c r="B6" s="14"/>
      <c r="C6" s="14"/>
      <c r="D6" s="14"/>
      <c r="E6" s="14"/>
      <c r="F6" s="14"/>
      <c r="G6" s="14"/>
      <c r="H6" s="14"/>
      <c r="I6" s="15"/>
      <c r="J6" s="15"/>
      <c r="K6" s="15"/>
      <c r="L6" s="14"/>
      <c r="M6" s="16"/>
      <c r="N6" s="17" t="str">
        <f t="shared" si="0"/>
        <v>fa-home</v>
      </c>
      <c r="O6" s="17" t="str">
        <f t="shared" si="1"/>
        <v/>
      </c>
      <c r="P6" s="17" t="str">
        <f t="shared" si="2"/>
        <v/>
      </c>
      <c r="Q6" s="17" t="str">
        <f t="shared" si="3"/>
        <v/>
      </c>
      <c r="R6" s="17" t="str">
        <f t="shared" si="4"/>
        <v/>
      </c>
      <c r="S6" s="17" t="str">
        <f t="shared" si="5"/>
        <v/>
      </c>
      <c r="T6" s="17" t="str">
        <f t="shared" si="6"/>
        <v/>
      </c>
      <c r="U6" s="18" t="str">
        <f t="shared" si="7"/>
        <v/>
      </c>
      <c r="V6" s="17" t="str">
        <f t="shared" si="8"/>
        <v/>
      </c>
      <c r="W6" s="17" t="str">
        <f t="shared" si="9"/>
        <v/>
      </c>
      <c r="X6" s="17" t="str">
        <f t="shared" si="10"/>
        <v/>
      </c>
      <c r="Y6" s="19" t="str">
        <f t="shared" si="11"/>
        <v/>
      </c>
      <c r="Z6" s="19" t="str">
        <f t="shared" si="12"/>
        <v/>
      </c>
      <c r="AA6" s="17"/>
      <c r="AB6" s="19" t="str">
        <f t="shared" si="13"/>
        <v/>
      </c>
    </row>
    <row r="7" ht="51.75" customHeight="1" spans="1:28">
      <c r="A7" s="14"/>
      <c r="B7" s="14"/>
      <c r="C7" s="14"/>
      <c r="D7" s="14"/>
      <c r="E7" s="14"/>
      <c r="F7" s="14"/>
      <c r="G7" s="14"/>
      <c r="H7" s="14"/>
      <c r="I7" s="15"/>
      <c r="J7" s="15"/>
      <c r="K7" s="15"/>
      <c r="L7" s="14"/>
      <c r="M7" s="16"/>
      <c r="N7" s="17" t="str">
        <f t="shared" si="0"/>
        <v>fa-home</v>
      </c>
      <c r="O7" s="17" t="str">
        <f t="shared" si="1"/>
        <v/>
      </c>
      <c r="P7" s="17" t="str">
        <f t="shared" si="2"/>
        <v/>
      </c>
      <c r="Q7" s="17" t="str">
        <f t="shared" si="3"/>
        <v/>
      </c>
      <c r="R7" s="17" t="str">
        <f t="shared" si="4"/>
        <v/>
      </c>
      <c r="S7" s="17" t="str">
        <f t="shared" si="5"/>
        <v/>
      </c>
      <c r="T7" s="17" t="str">
        <f t="shared" si="6"/>
        <v/>
      </c>
      <c r="U7" s="18" t="str">
        <f t="shared" si="7"/>
        <v/>
      </c>
      <c r="V7" s="17" t="str">
        <f t="shared" si="8"/>
        <v/>
      </c>
      <c r="W7" s="17" t="str">
        <f t="shared" si="9"/>
        <v/>
      </c>
      <c r="X7" s="17" t="str">
        <f t="shared" si="10"/>
        <v/>
      </c>
      <c r="Y7" s="19" t="str">
        <f t="shared" si="11"/>
        <v/>
      </c>
      <c r="Z7" s="19" t="str">
        <f t="shared" si="12"/>
        <v/>
      </c>
      <c r="AA7" s="17"/>
      <c r="AB7" s="19" t="str">
        <f t="shared" si="13"/>
        <v/>
      </c>
    </row>
    <row r="8" ht="51.75" customHeight="1" spans="1:28">
      <c r="A8" s="14"/>
      <c r="B8" s="14"/>
      <c r="C8" s="14"/>
      <c r="D8" s="14"/>
      <c r="E8" s="14"/>
      <c r="F8" s="14"/>
      <c r="G8" s="14"/>
      <c r="H8" s="14"/>
      <c r="I8" s="15"/>
      <c r="J8" s="15"/>
      <c r="K8" s="15"/>
      <c r="L8" s="14"/>
      <c r="M8" s="16"/>
      <c r="N8" s="17" t="str">
        <f t="shared" si="0"/>
        <v>fa-home</v>
      </c>
      <c r="O8" s="17" t="str">
        <f t="shared" si="1"/>
        <v/>
      </c>
      <c r="P8" s="17" t="str">
        <f t="shared" si="2"/>
        <v/>
      </c>
      <c r="Q8" s="17" t="str">
        <f t="shared" si="3"/>
        <v/>
      </c>
      <c r="R8" s="17" t="str">
        <f t="shared" si="4"/>
        <v/>
      </c>
      <c r="S8" s="17" t="str">
        <f t="shared" si="5"/>
        <v/>
      </c>
      <c r="T8" s="17" t="str">
        <f t="shared" si="6"/>
        <v/>
      </c>
      <c r="U8" s="18" t="str">
        <f t="shared" si="7"/>
        <v/>
      </c>
      <c r="V8" s="17" t="str">
        <f t="shared" si="8"/>
        <v/>
      </c>
      <c r="W8" s="17" t="str">
        <f t="shared" si="9"/>
        <v/>
      </c>
      <c r="X8" s="17" t="str">
        <f t="shared" si="10"/>
        <v/>
      </c>
      <c r="Y8" s="19" t="str">
        <f t="shared" si="11"/>
        <v/>
      </c>
      <c r="Z8" s="19" t="str">
        <f t="shared" si="12"/>
        <v/>
      </c>
      <c r="AA8" s="17"/>
      <c r="AB8" s="19" t="str">
        <f t="shared" si="13"/>
        <v/>
      </c>
    </row>
    <row r="9" ht="51.75" customHeight="1" spans="1:28">
      <c r="A9" s="14"/>
      <c r="B9" s="14"/>
      <c r="C9" s="14"/>
      <c r="D9" s="14"/>
      <c r="E9" s="14"/>
      <c r="F9" s="14"/>
      <c r="G9" s="14"/>
      <c r="H9" s="14"/>
      <c r="I9" s="15"/>
      <c r="J9" s="15"/>
      <c r="K9" s="15"/>
      <c r="L9" s="14"/>
      <c r="M9" s="16"/>
      <c r="N9" s="17" t="str">
        <f t="shared" si="0"/>
        <v>fa-home</v>
      </c>
      <c r="O9" s="17" t="str">
        <f t="shared" si="1"/>
        <v/>
      </c>
      <c r="P9" s="17" t="str">
        <f t="shared" si="2"/>
        <v/>
      </c>
      <c r="Q9" s="17" t="str">
        <f t="shared" si="3"/>
        <v/>
      </c>
      <c r="R9" s="17" t="str">
        <f t="shared" si="4"/>
        <v/>
      </c>
      <c r="S9" s="17" t="str">
        <f t="shared" si="5"/>
        <v/>
      </c>
      <c r="T9" s="17" t="str">
        <f t="shared" si="6"/>
        <v/>
      </c>
      <c r="U9" s="18" t="str">
        <f t="shared" si="7"/>
        <v/>
      </c>
      <c r="V9" s="17" t="str">
        <f t="shared" si="8"/>
        <v/>
      </c>
      <c r="W9" s="17" t="str">
        <f t="shared" si="9"/>
        <v/>
      </c>
      <c r="X9" s="17" t="str">
        <f t="shared" si="10"/>
        <v/>
      </c>
      <c r="Y9" s="19" t="str">
        <f t="shared" si="11"/>
        <v/>
      </c>
      <c r="Z9" s="19" t="str">
        <f t="shared" si="12"/>
        <v/>
      </c>
      <c r="AA9" s="17"/>
      <c r="AB9" s="19" t="str">
        <f t="shared" si="13"/>
        <v/>
      </c>
    </row>
    <row r="10" ht="51.75" customHeight="1" spans="1:28">
      <c r="A10" s="14"/>
      <c r="B10" s="14"/>
      <c r="C10" s="14"/>
      <c r="D10" s="14"/>
      <c r="E10" s="14"/>
      <c r="F10" s="14"/>
      <c r="G10" s="14"/>
      <c r="H10" s="14"/>
      <c r="I10" s="15"/>
      <c r="J10" s="15"/>
      <c r="K10" s="15"/>
      <c r="L10" s="14"/>
      <c r="M10" s="16"/>
      <c r="N10" s="17" t="str">
        <f t="shared" si="0"/>
        <v>fa-home</v>
      </c>
      <c r="O10" s="17" t="str">
        <f t="shared" si="1"/>
        <v/>
      </c>
      <c r="P10" s="17" t="str">
        <f t="shared" si="2"/>
        <v/>
      </c>
      <c r="Q10" s="17" t="str">
        <f t="shared" si="3"/>
        <v/>
      </c>
      <c r="R10" s="17" t="str">
        <f t="shared" si="4"/>
        <v/>
      </c>
      <c r="S10" s="17" t="str">
        <f t="shared" si="5"/>
        <v/>
      </c>
      <c r="T10" s="17" t="str">
        <f t="shared" si="6"/>
        <v/>
      </c>
      <c r="U10" s="18" t="str">
        <f t="shared" si="7"/>
        <v/>
      </c>
      <c r="V10" s="17" t="str">
        <f t="shared" si="8"/>
        <v/>
      </c>
      <c r="W10" s="17" t="str">
        <f t="shared" si="9"/>
        <v/>
      </c>
      <c r="X10" s="17" t="str">
        <f t="shared" si="10"/>
        <v/>
      </c>
      <c r="Y10" s="19" t="str">
        <f t="shared" si="11"/>
        <v/>
      </c>
      <c r="Z10" s="19" t="str">
        <f t="shared" si="12"/>
        <v/>
      </c>
      <c r="AA10" s="17"/>
      <c r="AB10" s="19" t="str">
        <f t="shared" si="13"/>
        <v/>
      </c>
    </row>
    <row r="11" ht="51.75" customHeight="1" spans="1:28">
      <c r="A11" s="14"/>
      <c r="B11" s="14"/>
      <c r="C11" s="14"/>
      <c r="D11" s="14"/>
      <c r="E11" s="14"/>
      <c r="F11" s="14"/>
      <c r="G11" s="14"/>
      <c r="H11" s="14"/>
      <c r="I11" s="15"/>
      <c r="J11" s="15"/>
      <c r="K11" s="15"/>
      <c r="L11" s="14"/>
      <c r="M11" s="16"/>
      <c r="N11" s="17" t="str">
        <f t="shared" si="0"/>
        <v>fa-home</v>
      </c>
      <c r="O11" s="17" t="str">
        <f t="shared" si="1"/>
        <v/>
      </c>
      <c r="P11" s="17" t="str">
        <f t="shared" si="2"/>
        <v/>
      </c>
      <c r="Q11" s="17" t="str">
        <f t="shared" si="3"/>
        <v/>
      </c>
      <c r="R11" s="17" t="str">
        <f t="shared" si="4"/>
        <v/>
      </c>
      <c r="S11" s="17" t="str">
        <f t="shared" si="5"/>
        <v/>
      </c>
      <c r="T11" s="17" t="str">
        <f t="shared" si="6"/>
        <v/>
      </c>
      <c r="U11" s="18" t="str">
        <f t="shared" si="7"/>
        <v/>
      </c>
      <c r="V11" s="17" t="str">
        <f t="shared" si="8"/>
        <v/>
      </c>
      <c r="W11" s="17" t="str">
        <f t="shared" si="9"/>
        <v/>
      </c>
      <c r="X11" s="17" t="str">
        <f t="shared" si="10"/>
        <v/>
      </c>
      <c r="Y11" s="19" t="str">
        <f t="shared" si="11"/>
        <v/>
      </c>
      <c r="Z11" s="19" t="str">
        <f t="shared" si="12"/>
        <v/>
      </c>
      <c r="AA11" s="17"/>
      <c r="AB11" s="19" t="str">
        <f t="shared" si="13"/>
        <v/>
      </c>
    </row>
    <row r="12" ht="51.75" customHeight="1" spans="1:28">
      <c r="A12" s="14"/>
      <c r="B12" s="14"/>
      <c r="C12" s="14"/>
      <c r="D12" s="14"/>
      <c r="E12" s="14"/>
      <c r="F12" s="14"/>
      <c r="G12" s="14"/>
      <c r="H12" s="14"/>
      <c r="I12" s="15"/>
      <c r="J12" s="15"/>
      <c r="K12" s="15"/>
      <c r="L12" s="14"/>
      <c r="M12" s="16"/>
      <c r="N12" s="17" t="str">
        <f t="shared" si="0"/>
        <v>fa-home</v>
      </c>
      <c r="O12" s="17" t="str">
        <f t="shared" si="1"/>
        <v/>
      </c>
      <c r="P12" s="17" t="str">
        <f t="shared" si="2"/>
        <v/>
      </c>
      <c r="Q12" s="17" t="str">
        <f t="shared" si="3"/>
        <v/>
      </c>
      <c r="R12" s="17" t="str">
        <f t="shared" si="4"/>
        <v/>
      </c>
      <c r="S12" s="17" t="str">
        <f t="shared" si="5"/>
        <v/>
      </c>
      <c r="T12" s="17" t="str">
        <f t="shared" si="6"/>
        <v/>
      </c>
      <c r="U12" s="18" t="str">
        <f t="shared" si="7"/>
        <v/>
      </c>
      <c r="V12" s="17" t="str">
        <f t="shared" si="8"/>
        <v/>
      </c>
      <c r="W12" s="17" t="str">
        <f t="shared" si="9"/>
        <v/>
      </c>
      <c r="X12" s="17" t="str">
        <f t="shared" si="10"/>
        <v/>
      </c>
      <c r="Y12" s="19" t="str">
        <f t="shared" si="11"/>
        <v/>
      </c>
      <c r="Z12" s="19" t="str">
        <f t="shared" si="12"/>
        <v/>
      </c>
      <c r="AA12" s="17"/>
      <c r="AB12" s="19" t="str">
        <f t="shared" si="13"/>
        <v/>
      </c>
    </row>
    <row r="13" ht="51.75" customHeight="1" spans="1:28">
      <c r="A13" s="14"/>
      <c r="B13" s="14"/>
      <c r="C13" s="14"/>
      <c r="D13" s="14"/>
      <c r="E13" s="14"/>
      <c r="F13" s="14"/>
      <c r="G13" s="14"/>
      <c r="H13" s="14"/>
      <c r="I13" s="15"/>
      <c r="J13" s="15"/>
      <c r="K13" s="15"/>
      <c r="L13" s="14"/>
      <c r="M13" s="16"/>
      <c r="N13" s="17" t="str">
        <f t="shared" si="0"/>
        <v>fa-home</v>
      </c>
      <c r="O13" s="17" t="str">
        <f t="shared" si="1"/>
        <v/>
      </c>
      <c r="P13" s="17" t="str">
        <f t="shared" si="2"/>
        <v/>
      </c>
      <c r="Q13" s="17" t="str">
        <f t="shared" si="3"/>
        <v/>
      </c>
      <c r="R13" s="17" t="str">
        <f t="shared" si="4"/>
        <v/>
      </c>
      <c r="S13" s="17" t="str">
        <f t="shared" si="5"/>
        <v/>
      </c>
      <c r="T13" s="17" t="str">
        <f t="shared" si="6"/>
        <v/>
      </c>
      <c r="U13" s="18" t="str">
        <f t="shared" si="7"/>
        <v/>
      </c>
      <c r="V13" s="17" t="str">
        <f t="shared" si="8"/>
        <v/>
      </c>
      <c r="W13" s="17" t="str">
        <f t="shared" si="9"/>
        <v/>
      </c>
      <c r="X13" s="17" t="str">
        <f t="shared" si="10"/>
        <v/>
      </c>
      <c r="Y13" s="19" t="str">
        <f t="shared" si="11"/>
        <v/>
      </c>
      <c r="Z13" s="19" t="str">
        <f t="shared" si="12"/>
        <v/>
      </c>
      <c r="AA13" s="17"/>
      <c r="AB13" s="19" t="str">
        <f t="shared" si="13"/>
        <v/>
      </c>
    </row>
    <row r="14" ht="51.75" customHeight="1" spans="1:28">
      <c r="A14" s="14"/>
      <c r="B14" s="14"/>
      <c r="C14" s="14"/>
      <c r="D14" s="14"/>
      <c r="E14" s="14"/>
      <c r="F14" s="14"/>
      <c r="G14" s="14"/>
      <c r="H14" s="14"/>
      <c r="I14" s="15"/>
      <c r="J14" s="15"/>
      <c r="K14" s="15"/>
      <c r="L14" s="14"/>
      <c r="M14" s="16"/>
      <c r="N14" s="17" t="str">
        <f t="shared" si="0"/>
        <v>fa-home</v>
      </c>
      <c r="O14" s="17" t="str">
        <f t="shared" si="1"/>
        <v/>
      </c>
      <c r="P14" s="17" t="str">
        <f t="shared" si="2"/>
        <v/>
      </c>
      <c r="Q14" s="17" t="str">
        <f t="shared" si="3"/>
        <v/>
      </c>
      <c r="R14" s="17" t="str">
        <f t="shared" si="4"/>
        <v/>
      </c>
      <c r="S14" s="17" t="str">
        <f t="shared" si="5"/>
        <v/>
      </c>
      <c r="T14" s="17" t="str">
        <f t="shared" si="6"/>
        <v/>
      </c>
      <c r="U14" s="18" t="str">
        <f t="shared" si="7"/>
        <v/>
      </c>
      <c r="V14" s="17" t="str">
        <f t="shared" si="8"/>
        <v/>
      </c>
      <c r="W14" s="17" t="str">
        <f t="shared" si="9"/>
        <v/>
      </c>
      <c r="X14" s="17" t="str">
        <f t="shared" si="10"/>
        <v/>
      </c>
      <c r="Y14" s="19" t="str">
        <f t="shared" si="11"/>
        <v/>
      </c>
      <c r="Z14" s="19" t="str">
        <f t="shared" si="12"/>
        <v/>
      </c>
      <c r="AA14" s="17"/>
      <c r="AB14" s="19" t="str">
        <f t="shared" si="13"/>
        <v/>
      </c>
    </row>
    <row r="15" ht="51.75" customHeight="1" spans="1:28">
      <c r="A15" s="14"/>
      <c r="B15" s="14"/>
      <c r="C15" s="14"/>
      <c r="D15" s="14"/>
      <c r="E15" s="14"/>
      <c r="F15" s="14"/>
      <c r="G15" s="14"/>
      <c r="H15" s="14"/>
      <c r="I15" s="15"/>
      <c r="J15" s="15"/>
      <c r="K15" s="15"/>
      <c r="L15" s="14"/>
      <c r="M15" s="16"/>
      <c r="N15" s="17" t="str">
        <f t="shared" si="0"/>
        <v>fa-home</v>
      </c>
      <c r="O15" s="17" t="str">
        <f t="shared" si="1"/>
        <v/>
      </c>
      <c r="P15" s="17" t="str">
        <f t="shared" si="2"/>
        <v/>
      </c>
      <c r="Q15" s="17" t="str">
        <f t="shared" si="3"/>
        <v/>
      </c>
      <c r="R15" s="17" t="str">
        <f t="shared" si="4"/>
        <v/>
      </c>
      <c r="S15" s="17" t="str">
        <f t="shared" si="5"/>
        <v/>
      </c>
      <c r="T15" s="17" t="str">
        <f t="shared" si="6"/>
        <v/>
      </c>
      <c r="U15" s="18" t="str">
        <f t="shared" si="7"/>
        <v/>
      </c>
      <c r="V15" s="17" t="str">
        <f t="shared" si="8"/>
        <v/>
      </c>
      <c r="W15" s="17" t="str">
        <f t="shared" si="9"/>
        <v/>
      </c>
      <c r="X15" s="17" t="str">
        <f t="shared" si="10"/>
        <v/>
      </c>
      <c r="Y15" s="19" t="str">
        <f t="shared" si="11"/>
        <v/>
      </c>
      <c r="Z15" s="19" t="str">
        <f t="shared" si="12"/>
        <v/>
      </c>
      <c r="AA15" s="17"/>
      <c r="AB15" s="19" t="str">
        <f t="shared" si="13"/>
        <v/>
      </c>
    </row>
    <row r="16" ht="51.75" customHeight="1" spans="1:28">
      <c r="A16" s="14"/>
      <c r="B16" s="14"/>
      <c r="C16" s="14"/>
      <c r="D16" s="14"/>
      <c r="E16" s="14"/>
      <c r="F16" s="14"/>
      <c r="G16" s="14"/>
      <c r="H16" s="14"/>
      <c r="I16" s="15"/>
      <c r="J16" s="15"/>
      <c r="K16" s="15"/>
      <c r="L16" s="14"/>
      <c r="M16" s="16"/>
      <c r="N16" s="17" t="str">
        <f t="shared" si="0"/>
        <v>fa-home</v>
      </c>
      <c r="O16" s="17" t="str">
        <f t="shared" si="1"/>
        <v/>
      </c>
      <c r="P16" s="17" t="str">
        <f t="shared" si="2"/>
        <v/>
      </c>
      <c r="Q16" s="17" t="str">
        <f t="shared" si="3"/>
        <v/>
      </c>
      <c r="R16" s="17" t="str">
        <f t="shared" si="4"/>
        <v/>
      </c>
      <c r="S16" s="17" t="str">
        <f t="shared" si="5"/>
        <v/>
      </c>
      <c r="T16" s="17" t="str">
        <f t="shared" si="6"/>
        <v/>
      </c>
      <c r="U16" s="18" t="str">
        <f t="shared" si="7"/>
        <v/>
      </c>
      <c r="V16" s="17" t="str">
        <f t="shared" si="8"/>
        <v/>
      </c>
      <c r="W16" s="17" t="str">
        <f t="shared" si="9"/>
        <v/>
      </c>
      <c r="X16" s="17" t="str">
        <f t="shared" si="10"/>
        <v/>
      </c>
      <c r="Y16" s="19" t="str">
        <f t="shared" si="11"/>
        <v/>
      </c>
      <c r="Z16" s="19" t="str">
        <f t="shared" si="12"/>
        <v/>
      </c>
      <c r="AA16" s="17"/>
      <c r="AB16" s="19" t="str">
        <f t="shared" si="13"/>
        <v/>
      </c>
    </row>
    <row r="17" ht="51.75" customHeight="1" spans="1:28">
      <c r="A17" s="14"/>
      <c r="B17" s="14"/>
      <c r="C17" s="14"/>
      <c r="D17" s="14"/>
      <c r="E17" s="14"/>
      <c r="F17" s="14"/>
      <c r="G17" s="14"/>
      <c r="H17" s="14"/>
      <c r="I17" s="15"/>
      <c r="J17" s="15"/>
      <c r="K17" s="15"/>
      <c r="L17" s="14"/>
      <c r="M17" s="16"/>
      <c r="N17" s="17" t="str">
        <f t="shared" si="0"/>
        <v>fa-home</v>
      </c>
      <c r="O17" s="17" t="str">
        <f t="shared" si="1"/>
        <v/>
      </c>
      <c r="P17" s="17" t="str">
        <f t="shared" si="2"/>
        <v/>
      </c>
      <c r="Q17" s="17" t="str">
        <f t="shared" si="3"/>
        <v/>
      </c>
      <c r="R17" s="17" t="str">
        <f t="shared" si="4"/>
        <v/>
      </c>
      <c r="S17" s="17" t="str">
        <f t="shared" si="5"/>
        <v/>
      </c>
      <c r="T17" s="17" t="str">
        <f t="shared" si="6"/>
        <v/>
      </c>
      <c r="U17" s="18" t="str">
        <f t="shared" si="7"/>
        <v/>
      </c>
      <c r="V17" s="17" t="str">
        <f t="shared" si="8"/>
        <v/>
      </c>
      <c r="W17" s="17" t="str">
        <f t="shared" si="9"/>
        <v/>
      </c>
      <c r="X17" s="17" t="str">
        <f t="shared" si="10"/>
        <v/>
      </c>
      <c r="Y17" s="19" t="str">
        <f t="shared" si="11"/>
        <v/>
      </c>
      <c r="Z17" s="19" t="str">
        <f t="shared" si="12"/>
        <v/>
      </c>
      <c r="AA17" s="17"/>
      <c r="AB17" s="19" t="str">
        <f t="shared" si="13"/>
        <v/>
      </c>
    </row>
    <row r="18" ht="51.75" customHeight="1" spans="1:28">
      <c r="A18" s="14"/>
      <c r="B18" s="14"/>
      <c r="C18" s="14"/>
      <c r="D18" s="14"/>
      <c r="E18" s="14"/>
      <c r="F18" s="14"/>
      <c r="G18" s="14"/>
      <c r="H18" s="14"/>
      <c r="I18" s="15"/>
      <c r="J18" s="15"/>
      <c r="K18" s="15"/>
      <c r="L18" s="14"/>
      <c r="M18" s="16"/>
      <c r="N18" s="17" t="str">
        <f t="shared" si="0"/>
        <v>fa-home</v>
      </c>
      <c r="O18" s="17" t="str">
        <f t="shared" si="1"/>
        <v/>
      </c>
      <c r="P18" s="17" t="str">
        <f t="shared" si="2"/>
        <v/>
      </c>
      <c r="Q18" s="17" t="str">
        <f t="shared" si="3"/>
        <v/>
      </c>
      <c r="R18" s="17" t="str">
        <f t="shared" si="4"/>
        <v/>
      </c>
      <c r="S18" s="17" t="str">
        <f t="shared" si="5"/>
        <v/>
      </c>
      <c r="T18" s="17" t="str">
        <f t="shared" si="6"/>
        <v/>
      </c>
      <c r="U18" s="18" t="str">
        <f t="shared" si="7"/>
        <v/>
      </c>
      <c r="V18" s="17" t="str">
        <f t="shared" si="8"/>
        <v/>
      </c>
      <c r="W18" s="17" t="str">
        <f t="shared" si="9"/>
        <v/>
      </c>
      <c r="X18" s="17" t="str">
        <f t="shared" si="10"/>
        <v/>
      </c>
      <c r="Y18" s="19" t="str">
        <f t="shared" si="11"/>
        <v/>
      </c>
      <c r="Z18" s="19" t="str">
        <f t="shared" si="12"/>
        <v/>
      </c>
      <c r="AA18" s="17"/>
      <c r="AB18" s="19" t="str">
        <f t="shared" si="13"/>
        <v/>
      </c>
    </row>
    <row r="19" ht="51.75" customHeight="1" spans="1:28">
      <c r="A19" s="14"/>
      <c r="B19" s="14"/>
      <c r="C19" s="14"/>
      <c r="D19" s="14"/>
      <c r="E19" s="14"/>
      <c r="F19" s="14"/>
      <c r="G19" s="14"/>
      <c r="H19" s="14"/>
      <c r="I19" s="15"/>
      <c r="J19" s="15"/>
      <c r="K19" s="15"/>
      <c r="L19" s="14"/>
      <c r="M19" s="16"/>
      <c r="N19" s="17" t="str">
        <f t="shared" si="0"/>
        <v>fa-home</v>
      </c>
      <c r="O19" s="17" t="str">
        <f t="shared" si="1"/>
        <v/>
      </c>
      <c r="P19" s="17" t="str">
        <f t="shared" si="2"/>
        <v/>
      </c>
      <c r="Q19" s="17" t="str">
        <f t="shared" si="3"/>
        <v/>
      </c>
      <c r="R19" s="17" t="str">
        <f t="shared" si="4"/>
        <v/>
      </c>
      <c r="S19" s="17" t="str">
        <f t="shared" si="5"/>
        <v/>
      </c>
      <c r="T19" s="17" t="str">
        <f t="shared" si="6"/>
        <v/>
      </c>
      <c r="U19" s="18" t="str">
        <f t="shared" si="7"/>
        <v/>
      </c>
      <c r="V19" s="17" t="str">
        <f t="shared" si="8"/>
        <v/>
      </c>
      <c r="W19" s="17" t="str">
        <f t="shared" si="9"/>
        <v/>
      </c>
      <c r="X19" s="17" t="str">
        <f t="shared" si="10"/>
        <v/>
      </c>
      <c r="Y19" s="19" t="str">
        <f t="shared" si="11"/>
        <v/>
      </c>
      <c r="Z19" s="19" t="str">
        <f t="shared" si="12"/>
        <v/>
      </c>
      <c r="AA19" s="17"/>
      <c r="AB19" s="19" t="str">
        <f t="shared" si="13"/>
        <v/>
      </c>
    </row>
    <row r="20" ht="51.75" customHeight="1" spans="1:28">
      <c r="A20" s="14"/>
      <c r="B20" s="14"/>
      <c r="C20" s="14"/>
      <c r="D20" s="14"/>
      <c r="E20" s="14"/>
      <c r="F20" s="14"/>
      <c r="G20" s="14"/>
      <c r="H20" s="14"/>
      <c r="I20" s="15"/>
      <c r="J20" s="15"/>
      <c r="K20" s="15"/>
      <c r="L20" s="14"/>
      <c r="M20" s="16"/>
      <c r="N20" s="17" t="str">
        <f t="shared" si="0"/>
        <v>fa-home</v>
      </c>
      <c r="O20" s="17" t="str">
        <f t="shared" si="1"/>
        <v/>
      </c>
      <c r="P20" s="17" t="str">
        <f t="shared" si="2"/>
        <v/>
      </c>
      <c r="Q20" s="17" t="str">
        <f t="shared" si="3"/>
        <v/>
      </c>
      <c r="R20" s="17" t="str">
        <f t="shared" si="4"/>
        <v/>
      </c>
      <c r="S20" s="17" t="str">
        <f t="shared" si="5"/>
        <v/>
      </c>
      <c r="T20" s="17" t="str">
        <f t="shared" si="6"/>
        <v/>
      </c>
      <c r="U20" s="18" t="str">
        <f t="shared" si="7"/>
        <v/>
      </c>
      <c r="V20" s="17" t="str">
        <f t="shared" si="8"/>
        <v/>
      </c>
      <c r="W20" s="17" t="str">
        <f t="shared" si="9"/>
        <v/>
      </c>
      <c r="X20" s="17" t="str">
        <f t="shared" si="10"/>
        <v/>
      </c>
      <c r="Y20" s="19" t="str">
        <f t="shared" si="11"/>
        <v/>
      </c>
      <c r="Z20" s="19" t="str">
        <f t="shared" si="12"/>
        <v/>
      </c>
      <c r="AA20" s="17"/>
      <c r="AB20" s="19" t="str">
        <f t="shared" si="13"/>
        <v/>
      </c>
    </row>
    <row r="21" ht="51.75" customHeight="1" spans="1:28">
      <c r="A21" s="14"/>
      <c r="B21" s="14"/>
      <c r="C21" s="14"/>
      <c r="D21" s="14"/>
      <c r="E21" s="14"/>
      <c r="F21" s="14"/>
      <c r="G21" s="14"/>
      <c r="H21" s="14"/>
      <c r="I21" s="15"/>
      <c r="J21" s="15"/>
      <c r="K21" s="15"/>
      <c r="L21" s="14"/>
      <c r="M21" s="16"/>
      <c r="N21" s="17" t="str">
        <f t="shared" si="0"/>
        <v>fa-home</v>
      </c>
      <c r="O21" s="17" t="str">
        <f t="shared" si="1"/>
        <v/>
      </c>
      <c r="P21" s="17" t="str">
        <f t="shared" si="2"/>
        <v/>
      </c>
      <c r="Q21" s="17" t="str">
        <f t="shared" si="3"/>
        <v/>
      </c>
      <c r="R21" s="17" t="str">
        <f t="shared" si="4"/>
        <v/>
      </c>
      <c r="S21" s="17" t="str">
        <f t="shared" si="5"/>
        <v/>
      </c>
      <c r="T21" s="17" t="str">
        <f t="shared" si="6"/>
        <v/>
      </c>
      <c r="U21" s="18" t="str">
        <f t="shared" si="7"/>
        <v/>
      </c>
      <c r="V21" s="17" t="str">
        <f t="shared" si="8"/>
        <v/>
      </c>
      <c r="W21" s="17" t="str">
        <f t="shared" si="9"/>
        <v/>
      </c>
      <c r="X21" s="17" t="str">
        <f t="shared" si="10"/>
        <v/>
      </c>
      <c r="Y21" s="19" t="str">
        <f t="shared" si="11"/>
        <v/>
      </c>
      <c r="Z21" s="19" t="str">
        <f t="shared" si="12"/>
        <v/>
      </c>
      <c r="AA21" s="17"/>
      <c r="AB21" s="19" t="str">
        <f t="shared" si="13"/>
        <v/>
      </c>
    </row>
    <row r="22" ht="51.75" customHeight="1" spans="1:28">
      <c r="A22" s="14"/>
      <c r="B22" s="14"/>
      <c r="C22" s="14"/>
      <c r="D22" s="14"/>
      <c r="E22" s="14"/>
      <c r="F22" s="14"/>
      <c r="G22" s="14"/>
      <c r="H22" s="14"/>
      <c r="I22" s="15"/>
      <c r="J22" s="15"/>
      <c r="K22" s="15"/>
      <c r="L22" s="14"/>
      <c r="M22" s="16"/>
      <c r="N22" s="17" t="str">
        <f t="shared" si="0"/>
        <v>fa-home</v>
      </c>
      <c r="O22" s="17" t="str">
        <f t="shared" si="1"/>
        <v/>
      </c>
      <c r="P22" s="17" t="str">
        <f t="shared" si="2"/>
        <v/>
      </c>
      <c r="Q22" s="17" t="str">
        <f t="shared" si="3"/>
        <v/>
      </c>
      <c r="R22" s="17" t="str">
        <f t="shared" si="4"/>
        <v/>
      </c>
      <c r="S22" s="17" t="str">
        <f t="shared" si="5"/>
        <v/>
      </c>
      <c r="T22" s="17" t="str">
        <f t="shared" si="6"/>
        <v/>
      </c>
      <c r="U22" s="18" t="str">
        <f t="shared" si="7"/>
        <v/>
      </c>
      <c r="V22" s="17" t="str">
        <f t="shared" si="8"/>
        <v/>
      </c>
      <c r="W22" s="17" t="str">
        <f t="shared" si="9"/>
        <v/>
      </c>
      <c r="X22" s="17" t="str">
        <f t="shared" si="10"/>
        <v/>
      </c>
      <c r="Y22" s="19" t="str">
        <f t="shared" si="11"/>
        <v/>
      </c>
      <c r="Z22" s="19" t="str">
        <f t="shared" si="12"/>
        <v/>
      </c>
      <c r="AA22" s="17"/>
      <c r="AB22" s="19" t="str">
        <f t="shared" si="13"/>
        <v/>
      </c>
    </row>
    <row r="23" ht="51.75" customHeight="1" spans="1:28">
      <c r="A23" s="14"/>
      <c r="B23" s="14"/>
      <c r="C23" s="14"/>
      <c r="D23" s="14"/>
      <c r="E23" s="14"/>
      <c r="F23" s="14"/>
      <c r="G23" s="14"/>
      <c r="H23" s="14"/>
      <c r="I23" s="15"/>
      <c r="J23" s="15"/>
      <c r="K23" s="15"/>
      <c r="L23" s="14"/>
      <c r="M23" s="16"/>
      <c r="N23" s="17" t="str">
        <f t="shared" si="0"/>
        <v>fa-home</v>
      </c>
      <c r="O23" s="17" t="str">
        <f t="shared" si="1"/>
        <v/>
      </c>
      <c r="P23" s="17" t="str">
        <f t="shared" si="2"/>
        <v/>
      </c>
      <c r="Q23" s="17" t="str">
        <f t="shared" si="3"/>
        <v/>
      </c>
      <c r="R23" s="17" t="str">
        <f t="shared" si="4"/>
        <v/>
      </c>
      <c r="S23" s="17" t="str">
        <f t="shared" si="5"/>
        <v/>
      </c>
      <c r="T23" s="17" t="str">
        <f t="shared" si="6"/>
        <v/>
      </c>
      <c r="U23" s="18" t="str">
        <f t="shared" si="7"/>
        <v/>
      </c>
      <c r="V23" s="17" t="str">
        <f t="shared" si="8"/>
        <v/>
      </c>
      <c r="W23" s="17" t="str">
        <f t="shared" si="9"/>
        <v/>
      </c>
      <c r="X23" s="17" t="str">
        <f t="shared" si="10"/>
        <v/>
      </c>
      <c r="Y23" s="19" t="str">
        <f t="shared" si="11"/>
        <v/>
      </c>
      <c r="Z23" s="19" t="str">
        <f t="shared" si="12"/>
        <v/>
      </c>
      <c r="AA23" s="17"/>
      <c r="AB23" s="19" t="str">
        <f t="shared" si="13"/>
        <v/>
      </c>
    </row>
    <row r="24" ht="51.75" customHeight="1" spans="1:28">
      <c r="A24" s="14"/>
      <c r="B24" s="14"/>
      <c r="C24" s="14"/>
      <c r="D24" s="14"/>
      <c r="E24" s="14"/>
      <c r="F24" s="14"/>
      <c r="G24" s="14"/>
      <c r="H24" s="14"/>
      <c r="I24" s="15"/>
      <c r="J24" s="15"/>
      <c r="K24" s="15"/>
      <c r="L24" s="14"/>
      <c r="M24" s="16"/>
      <c r="N24" s="17" t="str">
        <f t="shared" si="0"/>
        <v>fa-home</v>
      </c>
      <c r="O24" s="17" t="str">
        <f t="shared" si="1"/>
        <v/>
      </c>
      <c r="P24" s="17" t="str">
        <f t="shared" si="2"/>
        <v/>
      </c>
      <c r="Q24" s="17" t="str">
        <f t="shared" si="3"/>
        <v/>
      </c>
      <c r="R24" s="17" t="str">
        <f t="shared" si="4"/>
        <v/>
      </c>
      <c r="S24" s="17" t="str">
        <f t="shared" si="5"/>
        <v/>
      </c>
      <c r="T24" s="17" t="str">
        <f t="shared" si="6"/>
        <v/>
      </c>
      <c r="U24" s="18" t="str">
        <f t="shared" si="7"/>
        <v/>
      </c>
      <c r="V24" s="17" t="str">
        <f t="shared" si="8"/>
        <v/>
      </c>
      <c r="W24" s="17" t="str">
        <f t="shared" si="9"/>
        <v/>
      </c>
      <c r="X24" s="17" t="str">
        <f t="shared" si="10"/>
        <v/>
      </c>
      <c r="Y24" s="19" t="str">
        <f t="shared" si="11"/>
        <v/>
      </c>
      <c r="Z24" s="19" t="str">
        <f t="shared" si="12"/>
        <v/>
      </c>
      <c r="AA24" s="17"/>
      <c r="AB24" s="19" t="str">
        <f t="shared" si="13"/>
        <v/>
      </c>
    </row>
    <row r="25" ht="51.75" customHeight="1" spans="1:28">
      <c r="A25" s="14"/>
      <c r="B25" s="14"/>
      <c r="C25" s="14"/>
      <c r="D25" s="14"/>
      <c r="E25" s="14"/>
      <c r="F25" s="14"/>
      <c r="G25" s="14"/>
      <c r="H25" s="14"/>
      <c r="I25" s="15"/>
      <c r="J25" s="15"/>
      <c r="K25" s="15"/>
      <c r="L25" s="14"/>
      <c r="M25" s="16"/>
      <c r="N25" s="17" t="str">
        <f t="shared" si="0"/>
        <v>fa-home</v>
      </c>
      <c r="O25" s="17" t="str">
        <f t="shared" si="1"/>
        <v/>
      </c>
      <c r="P25" s="17" t="str">
        <f t="shared" si="2"/>
        <v/>
      </c>
      <c r="Q25" s="17" t="str">
        <f t="shared" si="3"/>
        <v/>
      </c>
      <c r="R25" s="17" t="str">
        <f t="shared" si="4"/>
        <v/>
      </c>
      <c r="S25" s="17" t="str">
        <f t="shared" si="5"/>
        <v/>
      </c>
      <c r="T25" s="17" t="str">
        <f t="shared" si="6"/>
        <v/>
      </c>
      <c r="U25" s="18" t="str">
        <f t="shared" si="7"/>
        <v/>
      </c>
      <c r="V25" s="17" t="str">
        <f t="shared" si="8"/>
        <v/>
      </c>
      <c r="W25" s="17" t="str">
        <f t="shared" si="9"/>
        <v/>
      </c>
      <c r="X25" s="17" t="str">
        <f t="shared" si="10"/>
        <v/>
      </c>
      <c r="Y25" s="19" t="str">
        <f t="shared" si="11"/>
        <v/>
      </c>
      <c r="Z25" s="19" t="str">
        <f t="shared" si="12"/>
        <v/>
      </c>
      <c r="AA25" s="17"/>
      <c r="AB25" s="19" t="str">
        <f t="shared" si="13"/>
        <v/>
      </c>
    </row>
    <row r="26" ht="51.75" customHeight="1" spans="1:28">
      <c r="A26" s="14"/>
      <c r="B26" s="14"/>
      <c r="C26" s="14"/>
      <c r="D26" s="14"/>
      <c r="E26" s="14"/>
      <c r="F26" s="14"/>
      <c r="G26" s="14"/>
      <c r="H26" s="14"/>
      <c r="I26" s="15"/>
      <c r="J26" s="15"/>
      <c r="K26" s="15"/>
      <c r="L26" s="14"/>
      <c r="M26" s="16"/>
      <c r="N26" s="17" t="str">
        <f t="shared" si="0"/>
        <v>fa-home</v>
      </c>
      <c r="O26" s="17" t="str">
        <f t="shared" si="1"/>
        <v/>
      </c>
      <c r="P26" s="17" t="str">
        <f t="shared" si="2"/>
        <v/>
      </c>
      <c r="Q26" s="17" t="str">
        <f t="shared" si="3"/>
        <v/>
      </c>
      <c r="R26" s="17" t="str">
        <f t="shared" si="4"/>
        <v/>
      </c>
      <c r="S26" s="17" t="str">
        <f t="shared" si="5"/>
        <v/>
      </c>
      <c r="T26" s="17" t="str">
        <f t="shared" si="6"/>
        <v/>
      </c>
      <c r="U26" s="18" t="str">
        <f t="shared" si="7"/>
        <v/>
      </c>
      <c r="V26" s="17" t="str">
        <f t="shared" si="8"/>
        <v/>
      </c>
      <c r="W26" s="17" t="str">
        <f t="shared" si="9"/>
        <v/>
      </c>
      <c r="X26" s="17" t="str">
        <f t="shared" si="10"/>
        <v/>
      </c>
      <c r="Y26" s="19" t="str">
        <f t="shared" si="11"/>
        <v/>
      </c>
      <c r="Z26" s="19" t="str">
        <f t="shared" si="12"/>
        <v/>
      </c>
      <c r="AA26" s="17"/>
      <c r="AB26" s="19" t="str">
        <f t="shared" si="13"/>
        <v/>
      </c>
    </row>
    <row r="27" ht="51.75" customHeight="1" spans="1:28">
      <c r="A27" s="14"/>
      <c r="B27" s="14"/>
      <c r="C27" s="14"/>
      <c r="D27" s="14"/>
      <c r="E27" s="14"/>
      <c r="F27" s="14"/>
      <c r="G27" s="14"/>
      <c r="H27" s="14"/>
      <c r="I27" s="15"/>
      <c r="J27" s="15"/>
      <c r="K27" s="15"/>
      <c r="L27" s="14"/>
      <c r="M27" s="16"/>
      <c r="N27" s="17" t="str">
        <f t="shared" si="0"/>
        <v>fa-home</v>
      </c>
      <c r="O27" s="17" t="str">
        <f t="shared" si="1"/>
        <v/>
      </c>
      <c r="P27" s="17" t="str">
        <f t="shared" si="2"/>
        <v/>
      </c>
      <c r="Q27" s="17" t="str">
        <f t="shared" si="3"/>
        <v/>
      </c>
      <c r="R27" s="17" t="str">
        <f t="shared" si="4"/>
        <v/>
      </c>
      <c r="S27" s="17" t="str">
        <f t="shared" si="5"/>
        <v/>
      </c>
      <c r="T27" s="17" t="str">
        <f t="shared" si="6"/>
        <v/>
      </c>
      <c r="U27" s="18" t="str">
        <f t="shared" si="7"/>
        <v/>
      </c>
      <c r="V27" s="17" t="str">
        <f t="shared" si="8"/>
        <v/>
      </c>
      <c r="W27" s="17" t="str">
        <f t="shared" si="9"/>
        <v/>
      </c>
      <c r="X27" s="17" t="str">
        <f t="shared" si="10"/>
        <v/>
      </c>
      <c r="Y27" s="19" t="str">
        <f t="shared" si="11"/>
        <v/>
      </c>
      <c r="Z27" s="19" t="str">
        <f t="shared" si="12"/>
        <v/>
      </c>
      <c r="AA27" s="17"/>
      <c r="AB27" s="19" t="str">
        <f t="shared" si="13"/>
        <v/>
      </c>
    </row>
    <row r="28" ht="51.75" customHeight="1" spans="1:28">
      <c r="A28" s="14"/>
      <c r="B28" s="14"/>
      <c r="C28" s="14"/>
      <c r="D28" s="14"/>
      <c r="E28" s="14"/>
      <c r="F28" s="14"/>
      <c r="G28" s="14"/>
      <c r="H28" s="14"/>
      <c r="I28" s="15"/>
      <c r="J28" s="15"/>
      <c r="K28" s="15"/>
      <c r="L28" s="14"/>
      <c r="M28" s="16"/>
      <c r="N28" s="17" t="str">
        <f t="shared" si="0"/>
        <v>fa-home</v>
      </c>
      <c r="O28" s="17" t="str">
        <f t="shared" si="1"/>
        <v/>
      </c>
      <c r="P28" s="17" t="str">
        <f t="shared" si="2"/>
        <v/>
      </c>
      <c r="Q28" s="17" t="str">
        <f t="shared" si="3"/>
        <v/>
      </c>
      <c r="R28" s="17" t="str">
        <f t="shared" si="4"/>
        <v/>
      </c>
      <c r="S28" s="17" t="str">
        <f t="shared" si="5"/>
        <v/>
      </c>
      <c r="T28" s="17" t="str">
        <f t="shared" si="6"/>
        <v/>
      </c>
      <c r="U28" s="18" t="str">
        <f t="shared" si="7"/>
        <v/>
      </c>
      <c r="V28" s="17" t="str">
        <f t="shared" si="8"/>
        <v/>
      </c>
      <c r="W28" s="17" t="str">
        <f t="shared" si="9"/>
        <v/>
      </c>
      <c r="X28" s="17" t="str">
        <f t="shared" si="10"/>
        <v/>
      </c>
      <c r="Y28" s="19" t="str">
        <f t="shared" si="11"/>
        <v/>
      </c>
      <c r="Z28" s="19" t="str">
        <f t="shared" si="12"/>
        <v/>
      </c>
      <c r="AA28" s="17"/>
      <c r="AB28" s="19" t="str">
        <f t="shared" si="13"/>
        <v/>
      </c>
    </row>
    <row r="29" ht="51.75" customHeight="1" spans="1:28">
      <c r="A29" s="14"/>
      <c r="B29" s="14"/>
      <c r="C29" s="14"/>
      <c r="D29" s="14"/>
      <c r="E29" s="14"/>
      <c r="F29" s="14"/>
      <c r="G29" s="14"/>
      <c r="H29" s="14"/>
      <c r="I29" s="15"/>
      <c r="J29" s="15"/>
      <c r="K29" s="15"/>
      <c r="L29" s="14"/>
      <c r="M29" s="16"/>
      <c r="N29" s="17" t="str">
        <f t="shared" si="0"/>
        <v>fa-home</v>
      </c>
      <c r="O29" s="17" t="str">
        <f t="shared" si="1"/>
        <v/>
      </c>
      <c r="P29" s="17" t="str">
        <f t="shared" si="2"/>
        <v/>
      </c>
      <c r="Q29" s="17" t="str">
        <f t="shared" si="3"/>
        <v/>
      </c>
      <c r="R29" s="17" t="str">
        <f t="shared" si="4"/>
        <v/>
      </c>
      <c r="S29" s="17" t="str">
        <f t="shared" si="5"/>
        <v/>
      </c>
      <c r="T29" s="17" t="str">
        <f t="shared" si="6"/>
        <v/>
      </c>
      <c r="U29" s="18" t="str">
        <f t="shared" si="7"/>
        <v/>
      </c>
      <c r="V29" s="17" t="str">
        <f t="shared" si="8"/>
        <v/>
      </c>
      <c r="W29" s="17" t="str">
        <f t="shared" si="9"/>
        <v/>
      </c>
      <c r="X29" s="17" t="str">
        <f t="shared" si="10"/>
        <v/>
      </c>
      <c r="Y29" s="19" t="str">
        <f t="shared" si="11"/>
        <v/>
      </c>
      <c r="Z29" s="19" t="str">
        <f t="shared" si="12"/>
        <v/>
      </c>
      <c r="AA29" s="17"/>
      <c r="AB29" s="19" t="str">
        <f t="shared" si="13"/>
        <v/>
      </c>
    </row>
    <row r="30" ht="51.75" customHeight="1" spans="1:28">
      <c r="A30" s="14"/>
      <c r="B30" s="14"/>
      <c r="C30" s="14"/>
      <c r="D30" s="14"/>
      <c r="E30" s="14"/>
      <c r="F30" s="14"/>
      <c r="G30" s="14"/>
      <c r="H30" s="14"/>
      <c r="I30" s="15"/>
      <c r="J30" s="15"/>
      <c r="K30" s="15"/>
      <c r="L30" s="14"/>
      <c r="M30" s="16"/>
      <c r="N30" s="17" t="str">
        <f t="shared" si="0"/>
        <v>fa-home</v>
      </c>
      <c r="O30" s="17" t="str">
        <f t="shared" si="1"/>
        <v/>
      </c>
      <c r="P30" s="17" t="str">
        <f t="shared" si="2"/>
        <v/>
      </c>
      <c r="Q30" s="17" t="str">
        <f t="shared" si="3"/>
        <v/>
      </c>
      <c r="R30" s="17" t="str">
        <f t="shared" si="4"/>
        <v/>
      </c>
      <c r="S30" s="17" t="str">
        <f t="shared" si="5"/>
        <v/>
      </c>
      <c r="T30" s="17" t="str">
        <f t="shared" si="6"/>
        <v/>
      </c>
      <c r="U30" s="18" t="str">
        <f t="shared" si="7"/>
        <v/>
      </c>
      <c r="V30" s="17" t="str">
        <f t="shared" si="8"/>
        <v/>
      </c>
      <c r="W30" s="17" t="str">
        <f t="shared" si="9"/>
        <v/>
      </c>
      <c r="X30" s="17" t="str">
        <f t="shared" si="10"/>
        <v/>
      </c>
      <c r="Y30" s="19" t="str">
        <f t="shared" si="11"/>
        <v/>
      </c>
      <c r="Z30" s="19" t="str">
        <f t="shared" si="12"/>
        <v/>
      </c>
      <c r="AA30" s="17"/>
      <c r="AB30" s="19" t="str">
        <f t="shared" si="13"/>
        <v/>
      </c>
    </row>
    <row r="31" ht="51.75" customHeight="1" spans="1:28">
      <c r="A31" s="14"/>
      <c r="B31" s="14"/>
      <c r="C31" s="14"/>
      <c r="D31" s="14"/>
      <c r="E31" s="14"/>
      <c r="F31" s="14"/>
      <c r="G31" s="14"/>
      <c r="H31" s="14"/>
      <c r="I31" s="15"/>
      <c r="J31" s="15"/>
      <c r="K31" s="15"/>
      <c r="L31" s="14"/>
      <c r="M31" s="16"/>
      <c r="N31" s="17" t="str">
        <f t="shared" si="0"/>
        <v>fa-home</v>
      </c>
      <c r="O31" s="17" t="str">
        <f t="shared" si="1"/>
        <v/>
      </c>
      <c r="P31" s="17" t="str">
        <f t="shared" si="2"/>
        <v/>
      </c>
      <c r="Q31" s="17" t="str">
        <f t="shared" si="3"/>
        <v/>
      </c>
      <c r="R31" s="17" t="str">
        <f t="shared" si="4"/>
        <v/>
      </c>
      <c r="S31" s="17" t="str">
        <f t="shared" si="5"/>
        <v/>
      </c>
      <c r="T31" s="17" t="str">
        <f t="shared" si="6"/>
        <v/>
      </c>
      <c r="U31" s="18" t="str">
        <f t="shared" si="7"/>
        <v/>
      </c>
      <c r="V31" s="17" t="str">
        <f t="shared" si="8"/>
        <v/>
      </c>
      <c r="W31" s="17" t="str">
        <f t="shared" si="9"/>
        <v/>
      </c>
      <c r="X31" s="17" t="str">
        <f t="shared" si="10"/>
        <v/>
      </c>
      <c r="Y31" s="19" t="str">
        <f t="shared" si="11"/>
        <v/>
      </c>
      <c r="Z31" s="19" t="str">
        <f t="shared" si="12"/>
        <v/>
      </c>
      <c r="AA31" s="17"/>
      <c r="AB31" s="19" t="str">
        <f t="shared" si="13"/>
        <v/>
      </c>
    </row>
    <row r="32" customHeight="1" spans="1:28">
      <c r="A32" s="14"/>
      <c r="B32" s="14"/>
      <c r="C32" s="14"/>
      <c r="D32" s="14"/>
      <c r="E32" s="14"/>
      <c r="F32" s="14"/>
      <c r="G32" s="14"/>
      <c r="H32" s="14"/>
      <c r="I32" s="15"/>
      <c r="J32" s="15"/>
      <c r="K32" s="15"/>
      <c r="L32" s="14"/>
      <c r="M32" s="16"/>
      <c r="N32" s="17" t="str">
        <f t="shared" si="0"/>
        <v>fa-home</v>
      </c>
      <c r="O32" s="17" t="str">
        <f t="shared" si="1"/>
        <v/>
      </c>
      <c r="P32" s="17" t="str">
        <f t="shared" si="2"/>
        <v/>
      </c>
      <c r="Q32" s="17" t="str">
        <f t="shared" si="3"/>
        <v/>
      </c>
      <c r="R32" s="17" t="str">
        <f t="shared" si="4"/>
        <v/>
      </c>
      <c r="S32" s="17" t="str">
        <f t="shared" si="5"/>
        <v/>
      </c>
      <c r="T32" s="17" t="str">
        <f t="shared" si="6"/>
        <v/>
      </c>
      <c r="U32" s="18" t="str">
        <f t="shared" si="7"/>
        <v/>
      </c>
      <c r="V32" s="17" t="str">
        <f t="shared" si="8"/>
        <v/>
      </c>
      <c r="W32" s="17" t="str">
        <f t="shared" si="9"/>
        <v/>
      </c>
      <c r="X32" s="17" t="str">
        <f t="shared" si="10"/>
        <v/>
      </c>
      <c r="Y32" s="19" t="str">
        <f t="shared" si="11"/>
        <v/>
      </c>
      <c r="Z32" s="19" t="str">
        <f t="shared" si="12"/>
        <v/>
      </c>
      <c r="AA32" s="17"/>
      <c r="AB32" s="19" t="str">
        <f t="shared" si="13"/>
        <v/>
      </c>
    </row>
    <row r="33" customHeight="1" spans="1:28">
      <c r="A33" s="14"/>
      <c r="B33" s="14"/>
      <c r="C33" s="14"/>
      <c r="D33" s="14"/>
      <c r="E33" s="14"/>
      <c r="F33" s="14"/>
      <c r="G33" s="14"/>
      <c r="H33" s="14"/>
      <c r="I33" s="15"/>
      <c r="J33" s="15"/>
      <c r="K33" s="15"/>
      <c r="L33" s="14"/>
      <c r="M33" s="16"/>
      <c r="N33" s="17" t="str">
        <f t="shared" si="0"/>
        <v>fa-home</v>
      </c>
      <c r="O33" s="17" t="str">
        <f t="shared" si="1"/>
        <v/>
      </c>
      <c r="P33" s="17" t="str">
        <f t="shared" si="2"/>
        <v/>
      </c>
      <c r="Q33" s="17" t="str">
        <f t="shared" si="3"/>
        <v/>
      </c>
      <c r="R33" s="17" t="str">
        <f t="shared" si="4"/>
        <v/>
      </c>
      <c r="S33" s="17" t="str">
        <f t="shared" si="5"/>
        <v/>
      </c>
      <c r="T33" s="17" t="str">
        <f t="shared" si="6"/>
        <v/>
      </c>
      <c r="U33" s="18" t="str">
        <f t="shared" si="7"/>
        <v/>
      </c>
      <c r="V33" s="17" t="str">
        <f t="shared" si="8"/>
        <v/>
      </c>
      <c r="W33" s="17" t="str">
        <f t="shared" si="9"/>
        <v/>
      </c>
      <c r="X33" s="17" t="str">
        <f t="shared" si="10"/>
        <v/>
      </c>
      <c r="Y33" s="19" t="str">
        <f t="shared" si="11"/>
        <v/>
      </c>
      <c r="Z33" s="19" t="str">
        <f t="shared" si="12"/>
        <v/>
      </c>
      <c r="AA33" s="17"/>
      <c r="AB33" s="19" t="str">
        <f t="shared" si="13"/>
        <v/>
      </c>
    </row>
    <row r="34" customHeight="1" spans="1:28">
      <c r="A34" s="14"/>
      <c r="B34" s="14"/>
      <c r="C34" s="14"/>
      <c r="D34" s="14"/>
      <c r="E34" s="14"/>
      <c r="F34" s="14"/>
      <c r="G34" s="14"/>
      <c r="H34" s="14"/>
      <c r="I34" s="15"/>
      <c r="J34" s="15"/>
      <c r="K34" s="15"/>
      <c r="L34" s="14"/>
      <c r="M34" s="16"/>
      <c r="N34" s="17" t="str">
        <f t="shared" si="0"/>
        <v>fa-home</v>
      </c>
      <c r="O34" s="17" t="str">
        <f t="shared" si="1"/>
        <v/>
      </c>
      <c r="P34" s="17" t="str">
        <f t="shared" si="2"/>
        <v/>
      </c>
      <c r="Q34" s="17" t="str">
        <f t="shared" si="3"/>
        <v/>
      </c>
      <c r="R34" s="17" t="str">
        <f t="shared" si="4"/>
        <v/>
      </c>
      <c r="S34" s="17" t="str">
        <f t="shared" si="5"/>
        <v/>
      </c>
      <c r="T34" s="17" t="str">
        <f t="shared" si="6"/>
        <v/>
      </c>
      <c r="U34" s="18" t="str">
        <f t="shared" si="7"/>
        <v/>
      </c>
      <c r="V34" s="17" t="str">
        <f t="shared" si="8"/>
        <v/>
      </c>
      <c r="W34" s="17" t="str">
        <f t="shared" si="9"/>
        <v/>
      </c>
      <c r="X34" s="17" t="str">
        <f t="shared" si="10"/>
        <v/>
      </c>
      <c r="Y34" s="19" t="str">
        <f t="shared" si="11"/>
        <v/>
      </c>
      <c r="Z34" s="19" t="str">
        <f t="shared" si="12"/>
        <v/>
      </c>
      <c r="AA34" s="17"/>
      <c r="AB34" s="19" t="str">
        <f t="shared" si="13"/>
        <v/>
      </c>
    </row>
    <row r="35" customHeight="1" spans="1:28">
      <c r="A35" s="14"/>
      <c r="B35" s="14"/>
      <c r="C35" s="14"/>
      <c r="D35" s="14"/>
      <c r="E35" s="14"/>
      <c r="F35" s="14"/>
      <c r="G35" s="14"/>
      <c r="H35" s="14"/>
      <c r="I35" s="15"/>
      <c r="J35" s="15"/>
      <c r="K35" s="15"/>
      <c r="L35" s="14"/>
      <c r="M35" s="16"/>
      <c r="N35" s="17" t="str">
        <f t="shared" si="0"/>
        <v>fa-home</v>
      </c>
      <c r="O35" s="17" t="str">
        <f t="shared" si="1"/>
        <v/>
      </c>
      <c r="P35" s="17" t="str">
        <f t="shared" si="2"/>
        <v/>
      </c>
      <c r="Q35" s="17" t="str">
        <f t="shared" si="3"/>
        <v/>
      </c>
      <c r="R35" s="17" t="str">
        <f t="shared" si="4"/>
        <v/>
      </c>
      <c r="S35" s="17" t="str">
        <f t="shared" si="5"/>
        <v/>
      </c>
      <c r="T35" s="17" t="str">
        <f t="shared" si="6"/>
        <v/>
      </c>
      <c r="U35" s="18" t="str">
        <f t="shared" si="7"/>
        <v/>
      </c>
      <c r="V35" s="17" t="str">
        <f t="shared" si="8"/>
        <v/>
      </c>
      <c r="W35" s="17" t="str">
        <f t="shared" si="9"/>
        <v/>
      </c>
      <c r="X35" s="17" t="str">
        <f t="shared" si="10"/>
        <v/>
      </c>
      <c r="Y35" s="19" t="str">
        <f t="shared" si="11"/>
        <v/>
      </c>
      <c r="Z35" s="19" t="str">
        <f t="shared" si="12"/>
        <v/>
      </c>
      <c r="AA35" s="17"/>
      <c r="AB35" s="19" t="str">
        <f t="shared" si="13"/>
        <v/>
      </c>
    </row>
    <row r="36" customHeight="1" spans="1:28">
      <c r="A36" s="14"/>
      <c r="B36" s="14"/>
      <c r="C36" s="14"/>
      <c r="D36" s="14"/>
      <c r="E36" s="14"/>
      <c r="F36" s="14"/>
      <c r="G36" s="14"/>
      <c r="H36" s="14"/>
      <c r="I36" s="15"/>
      <c r="J36" s="15"/>
      <c r="K36" s="15"/>
      <c r="L36" s="14"/>
      <c r="M36" s="16"/>
      <c r="N36" s="17" t="str">
        <f t="shared" si="0"/>
        <v>fa-home</v>
      </c>
      <c r="O36" s="17" t="str">
        <f t="shared" si="1"/>
        <v/>
      </c>
      <c r="P36" s="17" t="str">
        <f t="shared" si="2"/>
        <v/>
      </c>
      <c r="Q36" s="17" t="str">
        <f t="shared" si="3"/>
        <v/>
      </c>
      <c r="R36" s="17" t="str">
        <f t="shared" si="4"/>
        <v/>
      </c>
      <c r="S36" s="17" t="str">
        <f t="shared" si="5"/>
        <v/>
      </c>
      <c r="T36" s="17" t="str">
        <f t="shared" si="6"/>
        <v/>
      </c>
      <c r="U36" s="18" t="str">
        <f t="shared" si="7"/>
        <v/>
      </c>
      <c r="V36" s="17" t="str">
        <f t="shared" si="8"/>
        <v/>
      </c>
      <c r="W36" s="17" t="str">
        <f t="shared" si="9"/>
        <v/>
      </c>
      <c r="X36" s="17" t="str">
        <f t="shared" si="10"/>
        <v/>
      </c>
      <c r="Y36" s="19" t="str">
        <f t="shared" si="11"/>
        <v/>
      </c>
      <c r="Z36" s="19" t="str">
        <f t="shared" si="12"/>
        <v/>
      </c>
      <c r="AA36" s="17"/>
      <c r="AB36" s="19" t="str">
        <f t="shared" si="13"/>
        <v/>
      </c>
    </row>
    <row r="37" customHeight="1" spans="1:28">
      <c r="A37" s="14"/>
      <c r="B37" s="14"/>
      <c r="C37" s="14"/>
      <c r="D37" s="14"/>
      <c r="E37" s="14"/>
      <c r="F37" s="14"/>
      <c r="G37" s="14"/>
      <c r="H37" s="14"/>
      <c r="I37" s="15"/>
      <c r="J37" s="15"/>
      <c r="K37" s="15"/>
      <c r="L37" s="14"/>
      <c r="M37" s="16"/>
      <c r="N37" s="17" t="str">
        <f t="shared" si="0"/>
        <v>fa-home</v>
      </c>
      <c r="O37" s="17" t="str">
        <f t="shared" si="1"/>
        <v/>
      </c>
      <c r="P37" s="17" t="str">
        <f t="shared" si="2"/>
        <v/>
      </c>
      <c r="Q37" s="17" t="str">
        <f t="shared" si="3"/>
        <v/>
      </c>
      <c r="R37" s="17" t="str">
        <f t="shared" si="4"/>
        <v/>
      </c>
      <c r="S37" s="17" t="str">
        <f t="shared" si="5"/>
        <v/>
      </c>
      <c r="T37" s="17" t="str">
        <f t="shared" si="6"/>
        <v/>
      </c>
      <c r="U37" s="18" t="str">
        <f t="shared" si="7"/>
        <v/>
      </c>
      <c r="V37" s="17" t="str">
        <f t="shared" si="8"/>
        <v/>
      </c>
      <c r="W37" s="17" t="str">
        <f t="shared" si="9"/>
        <v/>
      </c>
      <c r="X37" s="17" t="str">
        <f t="shared" si="10"/>
        <v/>
      </c>
      <c r="Y37" s="19" t="str">
        <f t="shared" si="11"/>
        <v/>
      </c>
      <c r="Z37" s="19" t="str">
        <f t="shared" si="12"/>
        <v/>
      </c>
      <c r="AA37" s="17"/>
      <c r="AB37" s="19" t="str">
        <f t="shared" si="13"/>
        <v/>
      </c>
    </row>
    <row r="38" customHeight="1" spans="1:28">
      <c r="A38" s="14"/>
      <c r="B38" s="14"/>
      <c r="C38" s="14"/>
      <c r="D38" s="14"/>
      <c r="E38" s="14"/>
      <c r="F38" s="14"/>
      <c r="G38" s="14"/>
      <c r="H38" s="14"/>
      <c r="I38" s="15"/>
      <c r="J38" s="15"/>
      <c r="K38" s="15"/>
      <c r="L38" s="14"/>
      <c r="M38" s="16"/>
      <c r="N38" s="17" t="str">
        <f t="shared" si="0"/>
        <v>fa-home</v>
      </c>
      <c r="O38" s="17" t="str">
        <f t="shared" si="1"/>
        <v/>
      </c>
      <c r="P38" s="17" t="str">
        <f t="shared" si="2"/>
        <v/>
      </c>
      <c r="Q38" s="17" t="str">
        <f t="shared" si="3"/>
        <v/>
      </c>
      <c r="R38" s="17" t="str">
        <f t="shared" si="4"/>
        <v/>
      </c>
      <c r="S38" s="17" t="str">
        <f t="shared" si="5"/>
        <v/>
      </c>
      <c r="T38" s="17" t="str">
        <f t="shared" si="6"/>
        <v/>
      </c>
      <c r="U38" s="18" t="str">
        <f t="shared" si="7"/>
        <v/>
      </c>
      <c r="V38" s="17" t="str">
        <f t="shared" si="8"/>
        <v/>
      </c>
      <c r="W38" s="17" t="str">
        <f t="shared" si="9"/>
        <v/>
      </c>
      <c r="X38" s="17" t="str">
        <f t="shared" si="10"/>
        <v/>
      </c>
      <c r="Y38" s="19" t="str">
        <f t="shared" si="11"/>
        <v/>
      </c>
      <c r="Z38" s="19" t="str">
        <f t="shared" si="12"/>
        <v/>
      </c>
      <c r="AA38" s="17"/>
      <c r="AB38" s="19" t="str">
        <f t="shared" si="13"/>
        <v/>
      </c>
    </row>
    <row r="39" customHeight="1" spans="1:28">
      <c r="A39" s="14"/>
      <c r="B39" s="14"/>
      <c r="C39" s="14"/>
      <c r="D39" s="14"/>
      <c r="E39" s="14"/>
      <c r="F39" s="14"/>
      <c r="G39" s="14"/>
      <c r="H39" s="14"/>
      <c r="I39" s="15"/>
      <c r="J39" s="15"/>
      <c r="K39" s="15"/>
      <c r="L39" s="14"/>
      <c r="M39" s="16"/>
      <c r="N39" s="17" t="str">
        <f t="shared" si="0"/>
        <v>fa-home</v>
      </c>
      <c r="O39" s="17" t="str">
        <f t="shared" si="1"/>
        <v/>
      </c>
      <c r="P39" s="17" t="str">
        <f t="shared" si="2"/>
        <v/>
      </c>
      <c r="Q39" s="17" t="str">
        <f t="shared" si="3"/>
        <v/>
      </c>
      <c r="R39" s="17" t="str">
        <f t="shared" si="4"/>
        <v/>
      </c>
      <c r="S39" s="17" t="str">
        <f t="shared" si="5"/>
        <v/>
      </c>
      <c r="T39" s="17" t="str">
        <f t="shared" si="6"/>
        <v/>
      </c>
      <c r="U39" s="18" t="str">
        <f t="shared" si="7"/>
        <v/>
      </c>
      <c r="V39" s="17" t="str">
        <f t="shared" si="8"/>
        <v/>
      </c>
      <c r="W39" s="17" t="str">
        <f t="shared" si="9"/>
        <v/>
      </c>
      <c r="X39" s="17" t="str">
        <f t="shared" si="10"/>
        <v/>
      </c>
      <c r="Y39" s="19" t="str">
        <f t="shared" si="11"/>
        <v/>
      </c>
      <c r="Z39" s="19" t="str">
        <f t="shared" si="12"/>
        <v/>
      </c>
      <c r="AA39" s="17"/>
      <c r="AB39" s="19" t="str">
        <f t="shared" si="13"/>
        <v/>
      </c>
    </row>
    <row r="40" customHeight="1" spans="1:28">
      <c r="A40" s="14"/>
      <c r="B40" s="14"/>
      <c r="C40" s="14"/>
      <c r="D40" s="14"/>
      <c r="E40" s="14"/>
      <c r="F40" s="14"/>
      <c r="G40" s="14"/>
      <c r="H40" s="14"/>
      <c r="I40" s="15"/>
      <c r="J40" s="15"/>
      <c r="K40" s="15"/>
      <c r="L40" s="14"/>
      <c r="M40" s="16"/>
      <c r="N40" s="17" t="str">
        <f t="shared" si="0"/>
        <v>fa-home</v>
      </c>
      <c r="O40" s="17" t="str">
        <f t="shared" si="1"/>
        <v/>
      </c>
      <c r="P40" s="17" t="str">
        <f t="shared" si="2"/>
        <v/>
      </c>
      <c r="Q40" s="17" t="str">
        <f t="shared" si="3"/>
        <v/>
      </c>
      <c r="R40" s="17" t="str">
        <f t="shared" si="4"/>
        <v/>
      </c>
      <c r="S40" s="17" t="str">
        <f t="shared" si="5"/>
        <v/>
      </c>
      <c r="T40" s="17" t="str">
        <f t="shared" si="6"/>
        <v/>
      </c>
      <c r="U40" s="18" t="str">
        <f t="shared" si="7"/>
        <v/>
      </c>
      <c r="V40" s="17" t="str">
        <f t="shared" si="8"/>
        <v/>
      </c>
      <c r="W40" s="17" t="str">
        <f t="shared" si="9"/>
        <v/>
      </c>
      <c r="X40" s="17" t="str">
        <f t="shared" si="10"/>
        <v/>
      </c>
      <c r="Y40" s="19" t="str">
        <f t="shared" si="11"/>
        <v/>
      </c>
      <c r="Z40" s="19" t="str">
        <f t="shared" si="12"/>
        <v/>
      </c>
      <c r="AA40" s="17"/>
      <c r="AB40" s="19" t="str">
        <f t="shared" si="13"/>
        <v/>
      </c>
    </row>
    <row r="41" customHeight="1" spans="1:28">
      <c r="A41" s="14"/>
      <c r="B41" s="14"/>
      <c r="C41" s="14"/>
      <c r="D41" s="14"/>
      <c r="E41" s="14"/>
      <c r="F41" s="14"/>
      <c r="G41" s="14"/>
      <c r="H41" s="14"/>
      <c r="I41" s="15"/>
      <c r="J41" s="15"/>
      <c r="K41" s="15"/>
      <c r="L41" s="14"/>
      <c r="M41" s="16"/>
      <c r="N41" s="17" t="str">
        <f t="shared" si="0"/>
        <v>fa-home</v>
      </c>
      <c r="O41" s="17" t="str">
        <f t="shared" si="1"/>
        <v/>
      </c>
      <c r="P41" s="17" t="str">
        <f t="shared" si="2"/>
        <v/>
      </c>
      <c r="Q41" s="17" t="str">
        <f t="shared" si="3"/>
        <v/>
      </c>
      <c r="R41" s="17" t="str">
        <f t="shared" si="4"/>
        <v/>
      </c>
      <c r="S41" s="17" t="str">
        <f t="shared" si="5"/>
        <v/>
      </c>
      <c r="T41" s="17" t="str">
        <f t="shared" si="6"/>
        <v/>
      </c>
      <c r="U41" s="18" t="str">
        <f t="shared" si="7"/>
        <v/>
      </c>
      <c r="V41" s="17" t="str">
        <f t="shared" si="8"/>
        <v/>
      </c>
      <c r="W41" s="17" t="str">
        <f t="shared" si="9"/>
        <v/>
      </c>
      <c r="X41" s="17" t="str">
        <f t="shared" si="10"/>
        <v/>
      </c>
      <c r="Y41" s="19" t="str">
        <f t="shared" si="11"/>
        <v/>
      </c>
      <c r="Z41" s="19" t="str">
        <f t="shared" si="12"/>
        <v/>
      </c>
      <c r="AA41" s="17"/>
      <c r="AB41" s="19" t="str">
        <f t="shared" si="13"/>
        <v/>
      </c>
    </row>
    <row r="42" customHeight="1" spans="1:28">
      <c r="A42" s="14"/>
      <c r="B42" s="14"/>
      <c r="C42" s="14"/>
      <c r="D42" s="14"/>
      <c r="E42" s="14"/>
      <c r="F42" s="14"/>
      <c r="G42" s="14"/>
      <c r="H42" s="14"/>
      <c r="I42" s="15"/>
      <c r="J42" s="15"/>
      <c r="K42" s="15"/>
      <c r="L42" s="14"/>
      <c r="M42" s="16"/>
      <c r="N42" s="17" t="str">
        <f t="shared" si="0"/>
        <v>fa-home</v>
      </c>
      <c r="O42" s="17" t="str">
        <f t="shared" si="1"/>
        <v/>
      </c>
      <c r="P42" s="17" t="str">
        <f t="shared" si="2"/>
        <v/>
      </c>
      <c r="Q42" s="17" t="str">
        <f t="shared" si="3"/>
        <v/>
      </c>
      <c r="R42" s="17" t="str">
        <f t="shared" si="4"/>
        <v/>
      </c>
      <c r="S42" s="17" t="str">
        <f t="shared" si="5"/>
        <v/>
      </c>
      <c r="T42" s="17" t="str">
        <f t="shared" si="6"/>
        <v/>
      </c>
      <c r="U42" s="18" t="str">
        <f t="shared" si="7"/>
        <v/>
      </c>
      <c r="V42" s="17" t="str">
        <f t="shared" si="8"/>
        <v/>
      </c>
      <c r="W42" s="17" t="str">
        <f t="shared" si="9"/>
        <v/>
      </c>
      <c r="X42" s="17" t="str">
        <f t="shared" si="10"/>
        <v/>
      </c>
      <c r="Y42" s="19" t="str">
        <f t="shared" si="11"/>
        <v/>
      </c>
      <c r="Z42" s="19" t="str">
        <f t="shared" si="12"/>
        <v/>
      </c>
      <c r="AA42" s="17"/>
      <c r="AB42" s="19" t="str">
        <f t="shared" si="13"/>
        <v/>
      </c>
    </row>
    <row r="43" customHeight="1" spans="1:28">
      <c r="A43" s="14"/>
      <c r="B43" s="14"/>
      <c r="C43" s="14"/>
      <c r="D43" s="14"/>
      <c r="E43" s="14"/>
      <c r="F43" s="14"/>
      <c r="G43" s="14"/>
      <c r="H43" s="14"/>
      <c r="I43" s="15"/>
      <c r="J43" s="15"/>
      <c r="K43" s="15"/>
      <c r="L43" s="14"/>
      <c r="M43" s="16"/>
      <c r="N43" s="17" t="str">
        <f t="shared" si="0"/>
        <v>fa-home</v>
      </c>
      <c r="O43" s="17" t="str">
        <f t="shared" si="1"/>
        <v/>
      </c>
      <c r="P43" s="17" t="str">
        <f t="shared" si="2"/>
        <v/>
      </c>
      <c r="Q43" s="17" t="str">
        <f t="shared" si="3"/>
        <v/>
      </c>
      <c r="R43" s="17" t="str">
        <f t="shared" si="4"/>
        <v/>
      </c>
      <c r="S43" s="17" t="str">
        <f t="shared" si="5"/>
        <v/>
      </c>
      <c r="T43" s="17" t="str">
        <f t="shared" si="6"/>
        <v/>
      </c>
      <c r="U43" s="18" t="str">
        <f t="shared" si="7"/>
        <v/>
      </c>
      <c r="V43" s="17" t="str">
        <f t="shared" si="8"/>
        <v/>
      </c>
      <c r="W43" s="17" t="str">
        <f t="shared" si="9"/>
        <v/>
      </c>
      <c r="X43" s="17" t="str">
        <f t="shared" si="10"/>
        <v/>
      </c>
      <c r="Y43" s="19" t="str">
        <f t="shared" si="11"/>
        <v/>
      </c>
      <c r="Z43" s="19" t="str">
        <f t="shared" si="12"/>
        <v/>
      </c>
      <c r="AA43" s="17"/>
      <c r="AB43" s="19" t="str">
        <f t="shared" si="13"/>
        <v/>
      </c>
    </row>
    <row r="44" customHeight="1" spans="1:28">
      <c r="A44" s="14"/>
      <c r="B44" s="14"/>
      <c r="C44" s="14"/>
      <c r="D44" s="14"/>
      <c r="E44" s="14"/>
      <c r="F44" s="14"/>
      <c r="G44" s="14"/>
      <c r="H44" s="14"/>
      <c r="I44" s="15"/>
      <c r="J44" s="15"/>
      <c r="K44" s="15"/>
      <c r="L44" s="14"/>
      <c r="M44" s="16"/>
      <c r="N44" s="17" t="str">
        <f t="shared" si="0"/>
        <v>fa-home</v>
      </c>
      <c r="O44" s="17" t="str">
        <f t="shared" si="1"/>
        <v/>
      </c>
      <c r="P44" s="17" t="str">
        <f t="shared" si="2"/>
        <v/>
      </c>
      <c r="Q44" s="17" t="str">
        <f t="shared" si="3"/>
        <v/>
      </c>
      <c r="R44" s="17" t="str">
        <f t="shared" si="4"/>
        <v/>
      </c>
      <c r="S44" s="17" t="str">
        <f t="shared" si="5"/>
        <v/>
      </c>
      <c r="T44" s="17" t="str">
        <f t="shared" si="6"/>
        <v/>
      </c>
      <c r="U44" s="18" t="str">
        <f t="shared" si="7"/>
        <v/>
      </c>
      <c r="V44" s="17" t="str">
        <f t="shared" si="8"/>
        <v/>
      </c>
      <c r="W44" s="17" t="str">
        <f t="shared" si="9"/>
        <v/>
      </c>
      <c r="X44" s="17" t="str">
        <f t="shared" si="10"/>
        <v/>
      </c>
      <c r="Y44" s="19" t="str">
        <f t="shared" si="11"/>
        <v/>
      </c>
      <c r="Z44" s="19" t="str">
        <f t="shared" si="12"/>
        <v/>
      </c>
      <c r="AA44" s="17"/>
      <c r="AB44" s="19" t="str">
        <f t="shared" si="13"/>
        <v/>
      </c>
    </row>
    <row r="45" customHeight="1" spans="1:28">
      <c r="A45" s="14"/>
      <c r="B45" s="14"/>
      <c r="C45" s="14"/>
      <c r="D45" s="14"/>
      <c r="E45" s="14"/>
      <c r="F45" s="14"/>
      <c r="G45" s="14"/>
      <c r="H45" s="14"/>
      <c r="I45" s="15"/>
      <c r="J45" s="15"/>
      <c r="K45" s="15"/>
      <c r="L45" s="14"/>
      <c r="M45" s="16"/>
      <c r="N45" s="17" t="str">
        <f t="shared" si="0"/>
        <v>fa-home</v>
      </c>
      <c r="O45" s="17" t="str">
        <f t="shared" si="1"/>
        <v/>
      </c>
      <c r="P45" s="17" t="str">
        <f t="shared" si="2"/>
        <v/>
      </c>
      <c r="Q45" s="17" t="str">
        <f t="shared" si="3"/>
        <v/>
      </c>
      <c r="R45" s="17" t="str">
        <f t="shared" si="4"/>
        <v/>
      </c>
      <c r="S45" s="17" t="str">
        <f t="shared" si="5"/>
        <v/>
      </c>
      <c r="T45" s="17" t="str">
        <f t="shared" si="6"/>
        <v/>
      </c>
      <c r="U45" s="18" t="str">
        <f t="shared" si="7"/>
        <v/>
      </c>
      <c r="V45" s="17" t="str">
        <f t="shared" si="8"/>
        <v/>
      </c>
      <c r="W45" s="17" t="str">
        <f t="shared" si="9"/>
        <v/>
      </c>
      <c r="X45" s="17" t="str">
        <f t="shared" si="10"/>
        <v/>
      </c>
      <c r="Y45" s="19" t="str">
        <f t="shared" si="11"/>
        <v/>
      </c>
      <c r="Z45" s="19" t="str">
        <f t="shared" si="12"/>
        <v/>
      </c>
      <c r="AA45" s="17"/>
      <c r="AB45" s="19" t="str">
        <f t="shared" si="13"/>
        <v/>
      </c>
    </row>
    <row r="46" customHeight="1" spans="1:28">
      <c r="A46" s="14"/>
      <c r="B46" s="14"/>
      <c r="C46" s="14"/>
      <c r="D46" s="14"/>
      <c r="E46" s="14"/>
      <c r="F46" s="14"/>
      <c r="G46" s="14"/>
      <c r="H46" s="14"/>
      <c r="I46" s="15"/>
      <c r="J46" s="15"/>
      <c r="K46" s="15"/>
      <c r="L46" s="14"/>
      <c r="M46" s="16"/>
      <c r="N46" s="17" t="str">
        <f t="shared" si="0"/>
        <v>fa-home</v>
      </c>
      <c r="O46" s="17" t="str">
        <f t="shared" si="1"/>
        <v/>
      </c>
      <c r="P46" s="17" t="str">
        <f t="shared" si="2"/>
        <v/>
      </c>
      <c r="Q46" s="17" t="str">
        <f t="shared" si="3"/>
        <v/>
      </c>
      <c r="R46" s="17" t="str">
        <f t="shared" si="4"/>
        <v/>
      </c>
      <c r="S46" s="17" t="str">
        <f t="shared" si="5"/>
        <v/>
      </c>
      <c r="T46" s="17" t="str">
        <f t="shared" si="6"/>
        <v/>
      </c>
      <c r="U46" s="18" t="str">
        <f t="shared" si="7"/>
        <v/>
      </c>
      <c r="V46" s="17" t="str">
        <f t="shared" si="8"/>
        <v/>
      </c>
      <c r="W46" s="17" t="str">
        <f t="shared" si="9"/>
        <v/>
      </c>
      <c r="X46" s="17" t="str">
        <f t="shared" si="10"/>
        <v/>
      </c>
      <c r="Y46" s="19" t="str">
        <f t="shared" si="11"/>
        <v/>
      </c>
      <c r="Z46" s="19" t="str">
        <f t="shared" si="12"/>
        <v/>
      </c>
      <c r="AA46" s="17"/>
      <c r="AB46" s="19" t="str">
        <f t="shared" si="13"/>
        <v/>
      </c>
    </row>
    <row r="47" customHeight="1" spans="1:28">
      <c r="A47" s="14"/>
      <c r="B47" s="14"/>
      <c r="C47" s="14"/>
      <c r="D47" s="14"/>
      <c r="E47" s="14"/>
      <c r="F47" s="14"/>
      <c r="G47" s="14"/>
      <c r="H47" s="14"/>
      <c r="I47" s="15"/>
      <c r="J47" s="15"/>
      <c r="K47" s="15"/>
      <c r="L47" s="14"/>
      <c r="M47" s="16"/>
      <c r="N47" s="17" t="str">
        <f t="shared" si="0"/>
        <v>fa-home</v>
      </c>
      <c r="O47" s="17" t="str">
        <f t="shared" si="1"/>
        <v/>
      </c>
      <c r="P47" s="17" t="str">
        <f t="shared" si="2"/>
        <v/>
      </c>
      <c r="Q47" s="17" t="str">
        <f t="shared" si="3"/>
        <v/>
      </c>
      <c r="R47" s="17" t="str">
        <f t="shared" si="4"/>
        <v/>
      </c>
      <c r="S47" s="17" t="str">
        <f t="shared" si="5"/>
        <v/>
      </c>
      <c r="T47" s="17" t="str">
        <f t="shared" si="6"/>
        <v/>
      </c>
      <c r="U47" s="18" t="str">
        <f t="shared" si="7"/>
        <v/>
      </c>
      <c r="V47" s="17" t="str">
        <f t="shared" si="8"/>
        <v/>
      </c>
      <c r="W47" s="17" t="str">
        <f t="shared" si="9"/>
        <v/>
      </c>
      <c r="X47" s="17" t="str">
        <f t="shared" si="10"/>
        <v/>
      </c>
      <c r="Y47" s="19" t="str">
        <f t="shared" si="11"/>
        <v/>
      </c>
      <c r="Z47" s="19" t="str">
        <f t="shared" si="12"/>
        <v/>
      </c>
      <c r="AA47" s="17"/>
      <c r="AB47" s="19" t="str">
        <f t="shared" si="13"/>
        <v/>
      </c>
    </row>
    <row r="48" customHeight="1" spans="1:28">
      <c r="A48" s="14"/>
      <c r="B48" s="14"/>
      <c r="C48" s="14"/>
      <c r="D48" s="14"/>
      <c r="E48" s="14"/>
      <c r="F48" s="14"/>
      <c r="G48" s="14"/>
      <c r="H48" s="14"/>
      <c r="I48" s="15"/>
      <c r="J48" s="15"/>
      <c r="K48" s="15"/>
      <c r="L48" s="14"/>
      <c r="M48" s="16"/>
      <c r="N48" s="17" t="str">
        <f t="shared" si="0"/>
        <v>fa-home</v>
      </c>
      <c r="O48" s="17" t="str">
        <f t="shared" si="1"/>
        <v/>
      </c>
      <c r="P48" s="17" t="str">
        <f t="shared" si="2"/>
        <v/>
      </c>
      <c r="Q48" s="17" t="str">
        <f t="shared" si="3"/>
        <v/>
      </c>
      <c r="R48" s="17" t="str">
        <f t="shared" si="4"/>
        <v/>
      </c>
      <c r="S48" s="17" t="str">
        <f t="shared" si="5"/>
        <v/>
      </c>
      <c r="T48" s="17" t="str">
        <f t="shared" si="6"/>
        <v/>
      </c>
      <c r="U48" s="18" t="str">
        <f t="shared" si="7"/>
        <v/>
      </c>
      <c r="V48" s="17" t="str">
        <f t="shared" si="8"/>
        <v/>
      </c>
      <c r="W48" s="17" t="str">
        <f t="shared" si="9"/>
        <v/>
      </c>
      <c r="X48" s="17" t="str">
        <f t="shared" si="10"/>
        <v/>
      </c>
      <c r="Y48" s="19" t="str">
        <f t="shared" si="11"/>
        <v/>
      </c>
      <c r="Z48" s="19" t="str">
        <f t="shared" si="12"/>
        <v/>
      </c>
      <c r="AA48" s="17"/>
      <c r="AB48" s="19" t="str">
        <f t="shared" si="13"/>
        <v/>
      </c>
    </row>
    <row r="49" customHeight="1" spans="1:28">
      <c r="A49" s="14"/>
      <c r="B49" s="14"/>
      <c r="C49" s="14"/>
      <c r="D49" s="14"/>
      <c r="E49" s="14"/>
      <c r="F49" s="14"/>
      <c r="G49" s="14"/>
      <c r="H49" s="14"/>
      <c r="I49" s="15"/>
      <c r="J49" s="15"/>
      <c r="K49" s="15"/>
      <c r="L49" s="14"/>
      <c r="M49" s="16"/>
      <c r="N49" s="17" t="str">
        <f t="shared" si="0"/>
        <v>fa-home</v>
      </c>
      <c r="O49" s="17" t="str">
        <f t="shared" si="1"/>
        <v/>
      </c>
      <c r="P49" s="17" t="str">
        <f t="shared" si="2"/>
        <v/>
      </c>
      <c r="Q49" s="17" t="str">
        <f t="shared" si="3"/>
        <v/>
      </c>
      <c r="R49" s="17" t="str">
        <f t="shared" si="4"/>
        <v/>
      </c>
      <c r="S49" s="17" t="str">
        <f t="shared" si="5"/>
        <v/>
      </c>
      <c r="T49" s="17" t="str">
        <f t="shared" si="6"/>
        <v/>
      </c>
      <c r="U49" s="18" t="str">
        <f t="shared" si="7"/>
        <v/>
      </c>
      <c r="V49" s="17" t="str">
        <f t="shared" si="8"/>
        <v/>
      </c>
      <c r="W49" s="17" t="str">
        <f t="shared" si="9"/>
        <v/>
      </c>
      <c r="X49" s="17" t="str">
        <f t="shared" si="10"/>
        <v/>
      </c>
      <c r="Y49" s="19" t="str">
        <f t="shared" si="11"/>
        <v/>
      </c>
      <c r="Z49" s="19" t="str">
        <f t="shared" si="12"/>
        <v/>
      </c>
      <c r="AA49" s="17"/>
      <c r="AB49" s="19" t="str">
        <f t="shared" si="13"/>
        <v/>
      </c>
    </row>
    <row r="50" customHeight="1" spans="1:28">
      <c r="A50" s="14"/>
      <c r="B50" s="14"/>
      <c r="C50" s="14"/>
      <c r="D50" s="14"/>
      <c r="E50" s="14"/>
      <c r="F50" s="14"/>
      <c r="G50" s="14"/>
      <c r="H50" s="14"/>
      <c r="I50" s="15"/>
      <c r="J50" s="15"/>
      <c r="K50" s="15"/>
      <c r="L50" s="14"/>
      <c r="M50" s="16"/>
      <c r="N50" s="17" t="str">
        <f t="shared" si="0"/>
        <v>fa-home</v>
      </c>
      <c r="O50" s="17" t="str">
        <f t="shared" si="1"/>
        <v/>
      </c>
      <c r="P50" s="17" t="str">
        <f t="shared" si="2"/>
        <v/>
      </c>
      <c r="Q50" s="17" t="str">
        <f t="shared" si="3"/>
        <v/>
      </c>
      <c r="R50" s="17" t="str">
        <f t="shared" si="4"/>
        <v/>
      </c>
      <c r="S50" s="17" t="str">
        <f t="shared" si="5"/>
        <v/>
      </c>
      <c r="T50" s="17" t="str">
        <f t="shared" si="6"/>
        <v/>
      </c>
      <c r="U50" s="18" t="str">
        <f t="shared" si="7"/>
        <v/>
      </c>
      <c r="V50" s="17" t="str">
        <f t="shared" si="8"/>
        <v/>
      </c>
      <c r="W50" s="17" t="str">
        <f t="shared" si="9"/>
        <v/>
      </c>
      <c r="X50" s="17" t="str">
        <f t="shared" si="10"/>
        <v/>
      </c>
      <c r="Y50" s="19" t="str">
        <f t="shared" si="11"/>
        <v/>
      </c>
      <c r="Z50" s="19" t="str">
        <f t="shared" si="12"/>
        <v/>
      </c>
      <c r="AA50" s="17"/>
      <c r="AB50" s="19" t="str">
        <f t="shared" si="13"/>
        <v/>
      </c>
    </row>
    <row r="51" customHeight="1" spans="1:28">
      <c r="A51" s="14"/>
      <c r="B51" s="14"/>
      <c r="C51" s="14"/>
      <c r="D51" s="14"/>
      <c r="E51" s="14"/>
      <c r="F51" s="14"/>
      <c r="G51" s="14"/>
      <c r="H51" s="14"/>
      <c r="I51" s="15"/>
      <c r="J51" s="15"/>
      <c r="K51" s="15"/>
      <c r="L51" s="14"/>
      <c r="M51" s="16"/>
      <c r="N51" s="17" t="str">
        <f t="shared" si="0"/>
        <v>fa-home</v>
      </c>
      <c r="O51" s="17" t="str">
        <f t="shared" si="1"/>
        <v/>
      </c>
      <c r="P51" s="17" t="str">
        <f t="shared" si="2"/>
        <v/>
      </c>
      <c r="Q51" s="17" t="str">
        <f t="shared" si="3"/>
        <v/>
      </c>
      <c r="R51" s="17" t="str">
        <f t="shared" si="4"/>
        <v/>
      </c>
      <c r="S51" s="17" t="str">
        <f t="shared" si="5"/>
        <v/>
      </c>
      <c r="T51" s="17" t="str">
        <f t="shared" si="6"/>
        <v/>
      </c>
      <c r="U51" s="18" t="str">
        <f t="shared" si="7"/>
        <v/>
      </c>
      <c r="V51" s="17" t="str">
        <f t="shared" si="8"/>
        <v/>
      </c>
      <c r="W51" s="17" t="str">
        <f t="shared" si="9"/>
        <v/>
      </c>
      <c r="X51" s="17" t="str">
        <f t="shared" si="10"/>
        <v/>
      </c>
      <c r="Y51" s="19" t="str">
        <f t="shared" si="11"/>
        <v/>
      </c>
      <c r="Z51" s="19" t="str">
        <f t="shared" si="12"/>
        <v/>
      </c>
      <c r="AA51" s="17"/>
      <c r="AB51" s="19" t="str">
        <f t="shared" si="13"/>
        <v/>
      </c>
    </row>
    <row r="52" customHeight="1" spans="1:28">
      <c r="A52" s="14"/>
      <c r="B52" s="14"/>
      <c r="C52" s="14"/>
      <c r="D52" s="14"/>
      <c r="E52" s="14"/>
      <c r="F52" s="14"/>
      <c r="G52" s="14"/>
      <c r="H52" s="14"/>
      <c r="I52" s="15"/>
      <c r="J52" s="15"/>
      <c r="K52" s="15"/>
      <c r="L52" s="14"/>
      <c r="M52" s="16"/>
      <c r="N52" s="17" t="str">
        <f t="shared" si="0"/>
        <v>fa-home</v>
      </c>
      <c r="O52" s="17" t="str">
        <f t="shared" si="1"/>
        <v/>
      </c>
      <c r="P52" s="17" t="str">
        <f t="shared" si="2"/>
        <v/>
      </c>
      <c r="Q52" s="17" t="str">
        <f t="shared" si="3"/>
        <v/>
      </c>
      <c r="R52" s="17" t="str">
        <f t="shared" si="4"/>
        <v/>
      </c>
      <c r="S52" s="17" t="str">
        <f t="shared" si="5"/>
        <v/>
      </c>
      <c r="T52" s="17" t="str">
        <f t="shared" si="6"/>
        <v/>
      </c>
      <c r="U52" s="18" t="str">
        <f t="shared" si="7"/>
        <v/>
      </c>
      <c r="V52" s="17" t="str">
        <f t="shared" si="8"/>
        <v/>
      </c>
      <c r="W52" s="17" t="str">
        <f t="shared" si="9"/>
        <v/>
      </c>
      <c r="X52" s="17" t="str">
        <f t="shared" si="10"/>
        <v/>
      </c>
      <c r="Y52" s="19" t="str">
        <f t="shared" si="11"/>
        <v/>
      </c>
      <c r="Z52" s="19" t="str">
        <f t="shared" si="12"/>
        <v/>
      </c>
      <c r="AA52" s="17"/>
      <c r="AB52" s="19" t="str">
        <f t="shared" si="13"/>
        <v/>
      </c>
    </row>
    <row r="53" customHeight="1" spans="1:28">
      <c r="A53" s="14"/>
      <c r="B53" s="14"/>
      <c r="C53" s="14"/>
      <c r="D53" s="14"/>
      <c r="E53" s="14"/>
      <c r="F53" s="14"/>
      <c r="G53" s="14"/>
      <c r="H53" s="14"/>
      <c r="I53" s="15"/>
      <c r="J53" s="15"/>
      <c r="K53" s="15"/>
      <c r="L53" s="14"/>
      <c r="M53" s="16"/>
      <c r="N53" s="17" t="str">
        <f t="shared" si="0"/>
        <v>fa-home</v>
      </c>
      <c r="O53" s="17" t="str">
        <f t="shared" si="1"/>
        <v/>
      </c>
      <c r="P53" s="17" t="str">
        <f t="shared" si="2"/>
        <v/>
      </c>
      <c r="Q53" s="17" t="str">
        <f t="shared" si="3"/>
        <v/>
      </c>
      <c r="R53" s="17" t="str">
        <f t="shared" si="4"/>
        <v/>
      </c>
      <c r="S53" s="17" t="str">
        <f t="shared" si="5"/>
        <v/>
      </c>
      <c r="T53" s="17" t="str">
        <f t="shared" si="6"/>
        <v/>
      </c>
      <c r="U53" s="18" t="str">
        <f t="shared" si="7"/>
        <v/>
      </c>
      <c r="V53" s="17" t="str">
        <f t="shared" si="8"/>
        <v/>
      </c>
      <c r="W53" s="17" t="str">
        <f t="shared" si="9"/>
        <v/>
      </c>
      <c r="X53" s="17" t="str">
        <f t="shared" si="10"/>
        <v/>
      </c>
      <c r="Y53" s="19" t="str">
        <f t="shared" si="11"/>
        <v/>
      </c>
      <c r="Z53" s="19" t="str">
        <f t="shared" si="12"/>
        <v/>
      </c>
      <c r="AA53" s="17"/>
      <c r="AB53" s="19" t="str">
        <f t="shared" si="13"/>
        <v/>
      </c>
    </row>
    <row r="54" customHeight="1" spans="1:28">
      <c r="A54" s="14"/>
      <c r="B54" s="14"/>
      <c r="C54" s="14"/>
      <c r="D54" s="14"/>
      <c r="E54" s="14"/>
      <c r="F54" s="14"/>
      <c r="G54" s="14"/>
      <c r="H54" s="14"/>
      <c r="I54" s="15"/>
      <c r="J54" s="15"/>
      <c r="K54" s="15"/>
      <c r="L54" s="14"/>
      <c r="M54" s="16"/>
      <c r="N54" s="17" t="str">
        <f t="shared" si="0"/>
        <v>fa-home</v>
      </c>
      <c r="O54" s="17" t="str">
        <f t="shared" si="1"/>
        <v/>
      </c>
      <c r="P54" s="17" t="str">
        <f t="shared" si="2"/>
        <v/>
      </c>
      <c r="Q54" s="17" t="str">
        <f t="shared" si="3"/>
        <v/>
      </c>
      <c r="R54" s="17" t="str">
        <f t="shared" si="4"/>
        <v/>
      </c>
      <c r="S54" s="17" t="str">
        <f t="shared" si="5"/>
        <v/>
      </c>
      <c r="T54" s="17" t="str">
        <f t="shared" si="6"/>
        <v/>
      </c>
      <c r="U54" s="18" t="str">
        <f t="shared" si="7"/>
        <v/>
      </c>
      <c r="V54" s="17" t="str">
        <f t="shared" si="8"/>
        <v/>
      </c>
      <c r="W54" s="17" t="str">
        <f t="shared" si="9"/>
        <v/>
      </c>
      <c r="X54" s="17" t="str">
        <f t="shared" si="10"/>
        <v/>
      </c>
      <c r="Y54" s="19" t="str">
        <f t="shared" si="11"/>
        <v/>
      </c>
      <c r="Z54" s="19" t="str">
        <f t="shared" si="12"/>
        <v/>
      </c>
      <c r="AA54" s="17"/>
      <c r="AB54" s="19" t="str">
        <f t="shared" si="13"/>
        <v/>
      </c>
    </row>
  </sheetData>
  <mergeCells count="7">
    <mergeCell ref="A1:Q1"/>
    <mergeCell ref="A2:M2"/>
    <mergeCell ref="E2:G2"/>
    <mergeCell ref="H2:J2"/>
    <mergeCell ref="K2:M2"/>
    <mergeCell ref="L2:X2"/>
    <mergeCell ref="N2:AB2"/>
  </mergeCells>
  <conditionalFormatting sqref="A5:A32">
    <cfRule type="containsText" dxfId="0" priority="2" operator="between" text="inactive">
      <formula>NOT(ISERROR(SEARCH("inactive",A5)))</formula>
    </cfRule>
  </conditionalFormatting>
  <dataValidations count="8">
    <dataValidation type="list" allowBlank="1" sqref="A5:A54">
      <formula1>"active,inactive"</formula1>
    </dataValidation>
    <dataValidation type="list" allowBlank="1" sqref="B5:B54">
      <formula1>"🏢 Condo 公寓,🏠 Apartment 单位,🌿 即租即住,🌿 近国际学校,📌 商业旺铺,🌟 海景豪宅,📈 投资优选,🏞️ 花园住宅,🌟 2026全新地标,📈 海外投资优选,🌆 核心地段,🔥 限时优惠,✅ 永久产权,🏅 高回报,🏖️ 度假胜地,🏫 学区优选,🛣️ 交通便利,🔑 即买即住"</formula1>
    </dataValidation>
    <dataValidation type="list" allowBlank="1" sqref="E5:E54">
      <formula1>"Studio,1,2,3,4,5,6"</formula1>
    </dataValidation>
    <dataValidation type="list" allowBlank="1" sqref="F5:F54">
      <formula1>"1,2,3,4,5"</formula1>
    </dataValidation>
    <dataValidation type="list" allowBlank="1" sqref="I5:I54">
      <formula1>"24小时保安,保安亭,无保安"</formula1>
    </dataValidation>
    <dataValidation type="list" allowBlank="1" sqref="J5:J54">
      <formula1>"CCTV监控,无CCTV监控"</formula1>
    </dataValidation>
    <dataValidation type="list" allowBlank="1" sqref="K5:K54">
      <formula1>"等级1门禁,等级2门禁,等级3门禁,等级4门禁,等级5门禁,等级6门禁,无门禁"</formula1>
    </dataValidation>
    <dataValidation type="list" allowBlank="1" sqref="M5:M54">
      <formula1>"已出租 Rented,已售出 Sold,装修中 Renovating,议价空间 Negotiable,业主急售 Urgent,新上市 New Listing,独家代理 Exclusive,联系业主 Contact Owner,看房需预约 By Appt,短租可议 Short Stay"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📖 使用说明 Guide</vt:lpstr>
      <vt:lpstr>🏠 出租房源 Rentals</vt:lpstr>
      <vt:lpstr>🏡 出售房源 For Sale</vt:lpstr>
      <vt:lpstr>🏗️ 新楼盘 New Launches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2026-04-30T07:07:00Z</dcterms:created>
  <dcterms:modified xsi:type="dcterms:W3CDTF">2026-05-11T12:54:29Z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8C1CCBF8C76A4403BB746CC066CE99BA_12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