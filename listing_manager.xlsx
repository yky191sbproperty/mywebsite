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使用说明 Guide" sheetId="1" state="visible" r:id="rId3"/>
    <sheet name="🏠 出租房源 Rentals" sheetId="2" state="visible" r:id="rId4"/>
    <sheet name="🏡 出售房源 For Sale" sheetId="3" state="visible" r:id="rId5"/>
    <sheet name="🏗️ 新楼盘 New Launch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<sst xmlns="http://schemas.openxmlformats.org/spreadsheetml/2006/main" count="174" uniqueCount="90">
  <si>
    <r>
      <rPr>
        <b val="true"/>
        <sz val="14"/>
        <color rgb="FFFFFFFF"/>
        <rFont val="Arial"/>
        <family val="0"/>
        <charset val="1"/>
      </rPr>
      <t xml:space="preserve">🏠 Rex Yap </t>
    </r>
    <r>
      <rPr>
        <b val="true"/>
        <sz val="14"/>
        <color rgb="FFFFFFFF"/>
        <rFont val="Noto Sans CJK SC"/>
        <family val="2"/>
      </rPr>
      <t xml:space="preserve">房源管理系统  </t>
    </r>
    <r>
      <rPr>
        <b val="true"/>
        <sz val="14"/>
        <color rgb="FFFFFFFF"/>
        <rFont val="Arial"/>
        <family val="0"/>
        <charset val="1"/>
      </rPr>
      <t xml:space="preserve">·  Property Listings Manager</t>
    </r>
  </si>
  <si>
    <t xml:space="preserve">✏️ 简化版 v4 — 保安分3列独立下拉，备注下拉，WhatsApp全自动生成！</t>
  </si>
  <si>
    <t xml:space="preserve">✏️ 输入列 A–M</t>
  </si>
  <si>
    <r>
      <rPr>
        <sz val="10"/>
        <color rgb="FF333333"/>
        <rFont val="Arial"/>
        <family val="0"/>
        <charset val="1"/>
      </rPr>
      <t xml:space="preserve">  A  </t>
    </r>
    <r>
      <rPr>
        <sz val="10"/>
        <color rgb="FF333333"/>
        <rFont val="Noto Sans CJK SC"/>
        <family val="2"/>
      </rPr>
      <t xml:space="preserve">状态 — </t>
    </r>
    <r>
      <rPr>
        <sz val="10"/>
        <color rgb="FF333333"/>
        <rFont val="Arial"/>
        <family val="0"/>
        <charset val="1"/>
      </rPr>
      <t xml:space="preserve">active / inactive</t>
    </r>
  </si>
  <si>
    <r>
      <rPr>
        <sz val="10"/>
        <color rgb="FF333333"/>
        <rFont val="Arial"/>
        <family val="0"/>
        <charset val="1"/>
      </rPr>
      <t xml:space="preserve">  B  </t>
    </r>
    <r>
      <rPr>
        <sz val="10"/>
        <color rgb="FF333333"/>
        <rFont val="Noto Sans CJK SC"/>
        <family val="2"/>
      </rPr>
      <t xml:space="preserve">徽章 </t>
    </r>
    <r>
      <rPr>
        <sz val="10"/>
        <color rgb="FF333333"/>
        <rFont val="Arial"/>
        <family val="0"/>
        <charset val="1"/>
      </rPr>
      <t xml:space="preserve">Badge — </t>
    </r>
    <r>
      <rPr>
        <sz val="10"/>
        <color rgb="FF333333"/>
        <rFont val="Noto Sans CJK SC"/>
        <family val="2"/>
      </rPr>
      <t xml:space="preserve">下拉（含🏢 </t>
    </r>
    <r>
      <rPr>
        <sz val="10"/>
        <color rgb="FF333333"/>
        <rFont val="Arial"/>
        <family val="0"/>
        <charset val="1"/>
      </rPr>
      <t xml:space="preserve">Condo / 🏠 Apartment</t>
    </r>
    <r>
      <rPr>
        <sz val="10"/>
        <color rgb="FF333333"/>
        <rFont val="Noto Sans CJK SC"/>
        <family val="2"/>
      </rPr>
      <t xml:space="preserve">）</t>
    </r>
  </si>
  <si>
    <r>
      <rPr>
        <sz val="10"/>
        <color rgb="FF333333"/>
        <rFont val="Arial"/>
        <family val="0"/>
        <charset val="1"/>
      </rPr>
      <t xml:space="preserve">  C  </t>
    </r>
    <r>
      <rPr>
        <sz val="10"/>
        <color rgb="FF333333"/>
        <rFont val="Noto Sans CJK SC"/>
        <family val="2"/>
      </rPr>
      <t xml:space="preserve">图片文件名</t>
    </r>
  </si>
  <si>
    <r>
      <rPr>
        <sz val="10"/>
        <color rgb="FF333333"/>
        <rFont val="Arial"/>
        <family val="0"/>
        <charset val="1"/>
      </rPr>
      <t xml:space="preserve">  D  </t>
    </r>
    <r>
      <rPr>
        <sz val="10"/>
        <color rgb="FF333333"/>
        <rFont val="Noto Sans CJK SC"/>
        <family val="2"/>
      </rPr>
      <t xml:space="preserve">楼名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地点（中文）</t>
    </r>
  </si>
  <si>
    <r>
      <rPr>
        <sz val="10"/>
        <color rgb="FF333333"/>
        <rFont val="Arial"/>
        <family val="0"/>
        <charset val="1"/>
      </rPr>
      <t xml:space="preserve">  E  </t>
    </r>
    <r>
      <rPr>
        <sz val="10"/>
        <color rgb="FF333333"/>
        <rFont val="Noto Sans CJK SC"/>
        <family val="2"/>
      </rPr>
      <t xml:space="preserve">房间数 — 下拉：</t>
    </r>
    <r>
      <rPr>
        <sz val="10"/>
        <color rgb="FF333333"/>
        <rFont val="Arial"/>
        <family val="0"/>
        <charset val="1"/>
      </rPr>
      <t xml:space="preserve">Studio/1-6</t>
    </r>
  </si>
  <si>
    <r>
      <rPr>
        <sz val="10"/>
        <color rgb="FF333333"/>
        <rFont val="Arial"/>
        <family val="0"/>
        <charset val="1"/>
      </rPr>
      <t xml:space="preserve">  F  </t>
    </r>
    <r>
      <rPr>
        <sz val="10"/>
        <color rgb="FF333333"/>
        <rFont val="Noto Sans CJK SC"/>
        <family val="2"/>
      </rPr>
      <t xml:space="preserve">卫生间数 — 下拉：</t>
    </r>
    <r>
      <rPr>
        <sz val="10"/>
        <color rgb="FF333333"/>
        <rFont val="Arial"/>
        <family val="0"/>
        <charset val="1"/>
      </rPr>
      <t xml:space="preserve">1-5</t>
    </r>
  </si>
  <si>
    <r>
      <rPr>
        <sz val="10"/>
        <color rgb="FF333333"/>
        <rFont val="Arial"/>
        <family val="0"/>
        <charset val="1"/>
      </rPr>
      <t xml:space="preserve">  G  </t>
    </r>
    <r>
      <rPr>
        <sz val="10"/>
        <color rgb="FF333333"/>
        <rFont val="Noto Sans CJK SC"/>
        <family val="2"/>
      </rPr>
      <t xml:space="preserve">面积 </t>
    </r>
    <r>
      <rPr>
        <sz val="10"/>
        <color rgb="FF333333"/>
        <rFont val="Arial"/>
        <family val="0"/>
        <charset val="1"/>
      </rPr>
      <t xml:space="preserve">sqft</t>
    </r>
    <r>
      <rPr>
        <sz val="10"/>
        <color rgb="FF333333"/>
        <rFont val="Noto Sans CJK SC"/>
        <family val="2"/>
      </rPr>
      <t xml:space="preserve">（只填数字）</t>
    </r>
  </si>
  <si>
    <r>
      <rPr>
        <sz val="10"/>
        <color rgb="FF333333"/>
        <rFont val="Arial"/>
        <family val="0"/>
        <charset val="1"/>
      </rPr>
      <t xml:space="preserve">  H  </t>
    </r>
    <r>
      <rPr>
        <sz val="10"/>
        <color rgb="FF333333"/>
        <rFont val="Noto Sans CJK SC"/>
        <family val="2"/>
      </rPr>
      <t xml:space="preserve">娱乐设施（自由填写，如：游泳池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健身室</t>
    </r>
    <r>
      <rPr>
        <sz val="10"/>
        <color rgb="FF333333"/>
        <rFont val="Arial"/>
        <family val="0"/>
        <charset val="1"/>
      </rPr>
      <t xml:space="preserve">·BBQ</t>
    </r>
    <r>
      <rPr>
        <sz val="10"/>
        <color rgb="FF333333"/>
        <rFont val="Noto Sans CJK SC"/>
        <family val="2"/>
      </rPr>
      <t xml:space="preserve">区）</t>
    </r>
  </si>
  <si>
    <r>
      <rPr>
        <sz val="10"/>
        <color rgb="FF333333"/>
        <rFont val="Arial"/>
        <family val="0"/>
        <charset val="1"/>
      </rPr>
      <t xml:space="preserve">  I  🔒 </t>
    </r>
    <r>
      <rPr>
        <sz val="10"/>
        <color rgb="FF333333"/>
        <rFont val="Noto Sans CJK SC"/>
        <family val="2"/>
      </rPr>
      <t xml:space="preserve">保安人员 — 下拉选择：</t>
    </r>
    <r>
      <rPr>
        <sz val="10"/>
        <color rgb="FF333333"/>
        <rFont val="Arial"/>
        <family val="0"/>
        <charset val="1"/>
      </rPr>
      <t xml:space="preserve">24</t>
    </r>
    <r>
      <rPr>
        <sz val="10"/>
        <color rgb="FF333333"/>
        <rFont val="Noto Sans CJK SC"/>
        <family val="2"/>
      </rPr>
      <t xml:space="preserve">小时保安 </t>
    </r>
    <r>
      <rPr>
        <sz val="10"/>
        <color rgb="FF333333"/>
        <rFont val="Arial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保安亭 </t>
    </r>
    <r>
      <rPr>
        <sz val="10"/>
        <color rgb="FF333333"/>
        <rFont val="Arial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无保安</t>
    </r>
  </si>
  <si>
    <r>
      <rPr>
        <sz val="10"/>
        <color rgb="FF333333"/>
        <rFont val="Arial"/>
        <family val="0"/>
        <charset val="1"/>
      </rPr>
      <t xml:space="preserve">  J  📷 CCTV — </t>
    </r>
    <r>
      <rPr>
        <sz val="10"/>
        <color rgb="FF333333"/>
        <rFont val="Noto Sans CJK SC"/>
        <family val="2"/>
      </rPr>
      <t xml:space="preserve">下拉选择：</t>
    </r>
    <r>
      <rPr>
        <sz val="10"/>
        <color rgb="FF333333"/>
        <rFont val="Arial"/>
        <family val="0"/>
        <charset val="1"/>
      </rPr>
      <t xml:space="preserve">CCTV</t>
    </r>
    <r>
      <rPr>
        <sz val="10"/>
        <color rgb="FF333333"/>
        <rFont val="Noto Sans CJK SC"/>
        <family val="2"/>
      </rPr>
      <t xml:space="preserve">监控 </t>
    </r>
    <r>
      <rPr>
        <sz val="10"/>
        <color rgb="FF333333"/>
        <rFont val="Arial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无</t>
    </r>
    <r>
      <rPr>
        <sz val="10"/>
        <color rgb="FF333333"/>
        <rFont val="Arial"/>
        <family val="0"/>
        <charset val="1"/>
      </rPr>
      <t xml:space="preserve">CCTV</t>
    </r>
    <r>
      <rPr>
        <sz val="10"/>
        <color rgb="FF333333"/>
        <rFont val="Noto Sans CJK SC"/>
        <family val="2"/>
      </rPr>
      <t xml:space="preserve">监控</t>
    </r>
  </si>
  <si>
    <r>
      <rPr>
        <sz val="10"/>
        <color rgb="FF333333"/>
        <rFont val="Arial"/>
        <family val="0"/>
        <charset val="1"/>
      </rPr>
      <t xml:space="preserve">  K  🚪 </t>
    </r>
    <r>
      <rPr>
        <sz val="10"/>
        <color rgb="FF333333"/>
        <rFont val="Noto Sans CJK SC"/>
        <family val="2"/>
      </rPr>
      <t xml:space="preserve">门禁等级 — 下拉选择：等级</t>
    </r>
    <r>
      <rPr>
        <sz val="10"/>
        <color rgb="FF333333"/>
        <rFont val="Arial"/>
        <family val="0"/>
        <charset val="1"/>
      </rPr>
      <t xml:space="preserve">1–6</t>
    </r>
    <r>
      <rPr>
        <sz val="10"/>
        <color rgb="FF333333"/>
        <rFont val="Noto Sans CJK SC"/>
        <family val="2"/>
      </rPr>
      <t xml:space="preserve">门禁 </t>
    </r>
    <r>
      <rPr>
        <sz val="10"/>
        <color rgb="FF333333"/>
        <rFont val="Arial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无门禁</t>
    </r>
  </si>
  <si>
    <r>
      <rPr>
        <sz val="10"/>
        <color rgb="FF333333"/>
        <rFont val="Arial"/>
        <family val="0"/>
        <charset val="1"/>
      </rPr>
      <t xml:space="preserve">  L  </t>
    </r>
    <r>
      <rPr>
        <sz val="10"/>
        <color rgb="FF333333"/>
        <rFont val="Noto Sans CJK SC"/>
        <family val="2"/>
      </rPr>
      <t xml:space="preserve">价格 </t>
    </r>
    <r>
      <rPr>
        <sz val="10"/>
        <color rgb="FF333333"/>
        <rFont val="Arial"/>
        <family val="0"/>
        <charset val="1"/>
      </rPr>
      <t xml:space="preserve">RM</t>
    </r>
    <r>
      <rPr>
        <sz val="10"/>
        <color rgb="FF333333"/>
        <rFont val="Noto Sans CJK SC"/>
        <family val="2"/>
      </rPr>
      <t xml:space="preserve">（只填数字）</t>
    </r>
  </si>
  <si>
    <r>
      <rPr>
        <sz val="10"/>
        <color rgb="FF333333"/>
        <rFont val="Arial"/>
        <family val="0"/>
        <charset val="1"/>
      </rPr>
      <t xml:space="preserve">  M  </t>
    </r>
    <r>
      <rPr>
        <sz val="10"/>
        <color rgb="FF333333"/>
        <rFont val="Noto Sans CJK SC"/>
        <family val="2"/>
      </rPr>
      <t xml:space="preserve">备注 — 下拉选择（已出租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已售出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Noto Sans CJK SC"/>
        <family val="2"/>
      </rPr>
      <t xml:space="preserve">新上市等）</t>
    </r>
  </si>
  <si>
    <t xml:space="preserve">⚡ 自动生成 (N–AB 列)</t>
  </si>
  <si>
    <r>
      <rPr>
        <sz val="10"/>
        <color rgb="FF2E6DA4"/>
        <rFont val="Arial"/>
        <family val="0"/>
        <charset val="1"/>
      </rPr>
      <t xml:space="preserve">  N  </t>
    </r>
    <r>
      <rPr>
        <sz val="10"/>
        <color rgb="FF2E6DA4"/>
        <rFont val="Noto Sans CJK SC"/>
        <family val="2"/>
      </rPr>
      <t xml:space="preserve">图标  </t>
    </r>
    <r>
      <rPr>
        <sz val="10"/>
        <color rgb="FF2E6DA4"/>
        <rFont val="Arial"/>
        <family val="0"/>
        <charset val="1"/>
      </rPr>
      <t xml:space="preserve">·  O/P/Q  </t>
    </r>
    <r>
      <rPr>
        <sz val="10"/>
        <color rgb="FF2E6DA4"/>
        <rFont val="Noto Sans CJK SC"/>
        <family val="2"/>
      </rPr>
      <t xml:space="preserve">标题（中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英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马）</t>
    </r>
  </si>
  <si>
    <r>
      <rPr>
        <sz val="10"/>
        <color rgb="FF2E6DA4"/>
        <rFont val="Arial"/>
        <family val="0"/>
        <charset val="1"/>
      </rPr>
      <t xml:space="preserve">  R/S/T  </t>
    </r>
    <r>
      <rPr>
        <sz val="10"/>
        <color rgb="FF2E6DA4"/>
        <rFont val="Noto Sans CJK SC"/>
        <family val="2"/>
      </rPr>
      <t xml:space="preserve">特点（房型</t>
    </r>
    <r>
      <rPr>
        <sz val="10"/>
        <color rgb="FF2E6DA4"/>
        <rFont val="Arial"/>
        <family val="0"/>
        <charset val="1"/>
      </rPr>
      <t xml:space="preserve">·</t>
    </r>
    <r>
      <rPr>
        <sz val="10"/>
        <color rgb="FF2E6DA4"/>
        <rFont val="Noto Sans CJK SC"/>
        <family val="2"/>
      </rPr>
      <t xml:space="preserve">面积</t>
    </r>
    <r>
      <rPr>
        <sz val="10"/>
        <color rgb="FF2E6DA4"/>
        <rFont val="Arial"/>
        <family val="0"/>
        <charset val="1"/>
      </rPr>
      <t xml:space="preserve">·</t>
    </r>
    <r>
      <rPr>
        <sz val="10"/>
        <color rgb="FF2E6DA4"/>
        <rFont val="Noto Sans CJK SC"/>
        <family val="2"/>
      </rPr>
      <t xml:space="preserve">设施）中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英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马</t>
    </r>
  </si>
  <si>
    <r>
      <rPr>
        <sz val="10"/>
        <color rgb="FF333333"/>
        <rFont val="Arial"/>
        <family val="0"/>
        <charset val="1"/>
      </rPr>
      <t xml:space="preserve">  U  🔒 </t>
    </r>
    <r>
      <rPr>
        <sz val="10"/>
        <color rgb="FF333333"/>
        <rFont val="Noto Sans CJK SC"/>
        <family val="2"/>
      </rPr>
      <t xml:space="preserve">保安摘要 </t>
    </r>
    <r>
      <rPr>
        <sz val="10"/>
        <color rgb="FF333333"/>
        <rFont val="Arial"/>
        <family val="0"/>
        <charset val="1"/>
      </rPr>
      <t xml:space="preserve">ZH</t>
    </r>
    <r>
      <rPr>
        <sz val="10"/>
        <color rgb="FF333333"/>
        <rFont val="Noto Sans CJK SC"/>
        <family val="2"/>
      </rPr>
      <t xml:space="preserve">（自动合并 </t>
    </r>
    <r>
      <rPr>
        <sz val="10"/>
        <color rgb="FF333333"/>
        <rFont val="Arial"/>
        <family val="0"/>
        <charset val="1"/>
      </rPr>
      <t xml:space="preserve">I+J+K </t>
    </r>
    <r>
      <rPr>
        <sz val="10"/>
        <color rgb="FF333333"/>
        <rFont val="Noto Sans CJK SC"/>
        <family val="2"/>
      </rPr>
      <t xml:space="preserve">三列）</t>
    </r>
  </si>
  <si>
    <r>
      <rPr>
        <sz val="10"/>
        <color rgb="FF2E6DA4"/>
        <rFont val="Arial"/>
        <family val="0"/>
        <charset val="1"/>
      </rPr>
      <t xml:space="preserve">  V/W/X  </t>
    </r>
    <r>
      <rPr>
        <sz val="10"/>
        <color rgb="FF2E6DA4"/>
        <rFont val="Noto Sans CJK SC"/>
        <family val="2"/>
      </rPr>
      <t xml:space="preserve">价格（中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英</t>
    </r>
    <r>
      <rPr>
        <sz val="10"/>
        <color rgb="FF2E6DA4"/>
        <rFont val="Arial"/>
        <family val="0"/>
        <charset val="1"/>
      </rPr>
      <t xml:space="preserve">/</t>
    </r>
    <r>
      <rPr>
        <sz val="10"/>
        <color rgb="FF2E6DA4"/>
        <rFont val="Noto Sans CJK SC"/>
        <family val="2"/>
      </rPr>
      <t xml:space="preserve">马）</t>
    </r>
  </si>
  <si>
    <r>
      <rPr>
        <sz val="10"/>
        <color rgb="FF1E3A5F"/>
        <rFont val="Arial"/>
        <family val="0"/>
        <charset val="1"/>
      </rPr>
      <t xml:space="preserve">  Y/Z/AB  📱 WhatsApp </t>
    </r>
    <r>
      <rPr>
        <sz val="10"/>
        <color rgb="FF1E3A5F"/>
        <rFont val="Noto Sans CJK SC"/>
        <family val="2"/>
      </rPr>
      <t xml:space="preserve">文字（中</t>
    </r>
    <r>
      <rPr>
        <sz val="10"/>
        <color rgb="FF1E3A5F"/>
        <rFont val="Arial"/>
        <family val="0"/>
        <charset val="1"/>
      </rPr>
      <t xml:space="preserve">/</t>
    </r>
    <r>
      <rPr>
        <sz val="10"/>
        <color rgb="FF1E3A5F"/>
        <rFont val="Noto Sans CJK SC"/>
        <family val="2"/>
      </rPr>
      <t xml:space="preserve">英</t>
    </r>
    <r>
      <rPr>
        <sz val="10"/>
        <color rgb="FF1E3A5F"/>
        <rFont val="Arial"/>
        <family val="0"/>
        <charset val="1"/>
      </rPr>
      <t xml:space="preserve">/</t>
    </r>
    <r>
      <rPr>
        <sz val="10"/>
        <color rgb="FF1E3A5F"/>
        <rFont val="Noto Sans CJK SC"/>
        <family val="2"/>
      </rPr>
      <t xml:space="preserve">马）— 含保安资料，直接复制发送</t>
    </r>
  </si>
  <si>
    <t xml:space="preserve">📤 上传步骤</t>
  </si>
  <si>
    <r>
      <rPr>
        <sz val="10"/>
        <color rgb="FF333333"/>
        <rFont val="Arial"/>
        <family val="0"/>
        <charset val="1"/>
      </rPr>
      <t xml:space="preserve">  1. </t>
    </r>
    <r>
      <rPr>
        <sz val="10"/>
        <color rgb="FF333333"/>
        <rFont val="Noto Sans CJK SC"/>
        <family val="2"/>
      </rPr>
      <t xml:space="preserve">保存 </t>
    </r>
    <r>
      <rPr>
        <sz val="10"/>
        <color rgb="FF333333"/>
        <rFont val="Arial"/>
        <family val="0"/>
        <charset val="1"/>
      </rPr>
      <t xml:space="preserve">Excel</t>
    </r>
  </si>
  <si>
    <r>
      <rPr>
        <sz val="10"/>
        <color rgb="FF333333"/>
        <rFont val="Arial"/>
        <family val="0"/>
        <charset val="1"/>
      </rPr>
      <t xml:space="preserve">  2. </t>
    </r>
    <r>
      <rPr>
        <sz val="10"/>
        <color rgb="FF333333"/>
        <rFont val="Noto Sans CJK SC"/>
        <family val="2"/>
      </rPr>
      <t xml:space="preserve">方法</t>
    </r>
    <r>
      <rPr>
        <sz val="10"/>
        <color rgb="FF333333"/>
        <rFont val="Arial"/>
        <family val="0"/>
        <charset val="1"/>
      </rPr>
      <t xml:space="preserve">A</t>
    </r>
    <r>
      <rPr>
        <sz val="10"/>
        <color rgb="FF333333"/>
        <rFont val="Noto Sans CJK SC"/>
        <family val="2"/>
      </rPr>
      <t xml:space="preserve">：</t>
    </r>
    <r>
      <rPr>
        <sz val="10"/>
        <color rgb="FF333333"/>
        <rFont val="Arial"/>
        <family val="0"/>
        <charset val="1"/>
      </rPr>
      <t xml:space="preserve">python convert.py → </t>
    </r>
    <r>
      <rPr>
        <sz val="10"/>
        <color rgb="FF333333"/>
        <rFont val="Noto Sans CJK SC"/>
        <family val="2"/>
      </rPr>
      <t xml:space="preserve">生成 </t>
    </r>
    <r>
      <rPr>
        <sz val="10"/>
        <color rgb="FF333333"/>
        <rFont val="Arial"/>
        <family val="0"/>
        <charset val="1"/>
      </rPr>
      <t xml:space="preserve">listingsData.js → git push</t>
    </r>
  </si>
  <si>
    <r>
      <rPr>
        <sz val="10"/>
        <color rgb="FF333333"/>
        <rFont val="Arial"/>
        <family val="0"/>
        <charset val="1"/>
      </rPr>
      <t xml:space="preserve">  3. </t>
    </r>
    <r>
      <rPr>
        <sz val="10"/>
        <color rgb="FF333333"/>
        <rFont val="Noto Sans CJK SC"/>
        <family val="2"/>
      </rPr>
      <t xml:space="preserve">方法</t>
    </r>
    <r>
      <rPr>
        <sz val="10"/>
        <color rgb="FF333333"/>
        <rFont val="Arial"/>
        <family val="0"/>
        <charset val="1"/>
      </rPr>
      <t xml:space="preserve">B</t>
    </r>
    <r>
      <rPr>
        <sz val="10"/>
        <color rgb="FF333333"/>
        <rFont val="Noto Sans CJK SC"/>
        <family val="2"/>
      </rPr>
      <t xml:space="preserve">：直接上传 </t>
    </r>
    <r>
      <rPr>
        <sz val="10"/>
        <color rgb="FF333333"/>
        <rFont val="Arial"/>
        <family val="0"/>
        <charset val="1"/>
      </rPr>
      <t xml:space="preserve">xlsx </t>
    </r>
    <r>
      <rPr>
        <sz val="10"/>
        <color rgb="FF333333"/>
        <rFont val="Noto Sans CJK SC"/>
        <family val="2"/>
      </rPr>
      <t xml:space="preserve">到 </t>
    </r>
    <r>
      <rPr>
        <sz val="10"/>
        <color rgb="FF333333"/>
        <rFont val="Arial"/>
        <family val="0"/>
        <charset val="1"/>
      </rPr>
      <t xml:space="preserve">GitHub → Actions </t>
    </r>
    <r>
      <rPr>
        <sz val="10"/>
        <color rgb="FF333333"/>
        <rFont val="Noto Sans CJK SC"/>
        <family val="2"/>
      </rPr>
      <t xml:space="preserve">自动处理</t>
    </r>
  </si>
  <si>
    <r>
      <rPr>
        <b val="true"/>
        <sz val="10"/>
        <color rgb="FFFFFFFF"/>
        <rFont val="Arial"/>
        <family val="0"/>
        <charset val="1"/>
      </rPr>
      <t xml:space="preserve">🏷️ Badge </t>
    </r>
    <r>
      <rPr>
        <b val="true"/>
        <sz val="10"/>
        <color rgb="FFFFFFFF"/>
        <rFont val="Noto Sans CJK SC"/>
        <family val="2"/>
      </rPr>
      <t xml:space="preserve">一览</t>
    </r>
  </si>
  <si>
    <r>
      <rPr>
        <sz val="10"/>
        <rFont val="Arial"/>
        <family val="0"/>
        <charset val="1"/>
      </rPr>
      <t xml:space="preserve">🏢 Condo </t>
    </r>
    <r>
      <rPr>
        <sz val="10"/>
        <rFont val="Noto Sans CJK SC"/>
        <family val="2"/>
      </rPr>
      <t xml:space="preserve">公寓</t>
    </r>
  </si>
  <si>
    <r>
      <rPr>
        <sz val="10"/>
        <rFont val="Arial"/>
        <family val="0"/>
        <charset val="1"/>
      </rPr>
      <t xml:space="preserve">🏠 Apartment </t>
    </r>
    <r>
      <rPr>
        <sz val="10"/>
        <rFont val="Noto Sans CJK SC"/>
        <family val="2"/>
      </rPr>
      <t xml:space="preserve">单位</t>
    </r>
  </si>
  <si>
    <t xml:space="preserve">🌿 即租即住</t>
  </si>
  <si>
    <t xml:space="preserve">🌿 近国际学校</t>
  </si>
  <si>
    <t xml:space="preserve">📌 商业旺铺</t>
  </si>
  <si>
    <t xml:space="preserve">🌟 海景豪宅</t>
  </si>
  <si>
    <t xml:space="preserve">📈 投资优选</t>
  </si>
  <si>
    <t xml:space="preserve">🏞️ 花园住宅</t>
  </si>
  <si>
    <r>
      <rPr>
        <sz val="10"/>
        <rFont val="Arial"/>
        <family val="0"/>
        <charset val="1"/>
      </rPr>
      <t xml:space="preserve">🌟 2026</t>
    </r>
    <r>
      <rPr>
        <sz val="10"/>
        <rFont val="Noto Sans CJK SC"/>
        <family val="2"/>
      </rPr>
      <t xml:space="preserve">全新地标</t>
    </r>
  </si>
  <si>
    <t xml:space="preserve">📈 海外投资优选</t>
  </si>
  <si>
    <t xml:space="preserve">🌆 核心地段</t>
  </si>
  <si>
    <t xml:space="preserve">🔥 限时优惠</t>
  </si>
  <si>
    <t xml:space="preserve">✅ 永久产权</t>
  </si>
  <si>
    <t xml:space="preserve">🏅 高回报</t>
  </si>
  <si>
    <t xml:space="preserve">🏖️ 度假胜地</t>
  </si>
  <si>
    <t xml:space="preserve">🏫 学区优选</t>
  </si>
  <si>
    <t xml:space="preserve">🛣️ 交通便利</t>
  </si>
  <si>
    <t xml:space="preserve">🔑 即买即住</t>
  </si>
  <si>
    <t xml:space="preserve">🏠 出租房源 Rentals</t>
  </si>
  <si>
    <t xml:space="preserve">✏️ 你只需填这些  |  Only fill these columns</t>
  </si>
  <si>
    <t xml:space="preserve">状态
Status ★</t>
  </si>
  <si>
    <t xml:space="preserve">徽章 Badge ★
(下拉选择)</t>
  </si>
  <si>
    <t xml:space="preserve">图片文件名
Image File</t>
  </si>
  <si>
    <t xml:space="preserve">楼名·地点 ★
Name · Location</t>
  </si>
  <si>
    <t xml:space="preserve">房间数 ★
Bedrooms</t>
  </si>
  <si>
    <t xml:space="preserve">卫生间数
Bathrooms</t>
  </si>
  <si>
    <t xml:space="preserve">面积 sqft
(数字)</t>
  </si>
  <si>
    <t xml:space="preserve">娱乐设施
Facilities</t>
  </si>
  <si>
    <t xml:space="preserve">🔒 保安人员
Guard Type</t>
  </si>
  <si>
    <r>
      <rPr>
        <b val="true"/>
        <sz val="9"/>
        <color rgb="FF1E3A5F"/>
        <rFont val="Arial"/>
        <family val="0"/>
        <charset val="1"/>
      </rPr>
      <t xml:space="preserve">📷 CCTV
</t>
    </r>
    <r>
      <rPr>
        <b val="true"/>
        <sz val="9"/>
        <color rgb="FF1E3A5F"/>
        <rFont val="Noto Sans CJK SC"/>
        <family val="2"/>
      </rPr>
      <t xml:space="preserve">监控</t>
    </r>
  </si>
  <si>
    <t xml:space="preserve">🚪 门禁
Access Level</t>
  </si>
  <si>
    <t xml:space="preserve">价格 RM ★
(数字)</t>
  </si>
  <si>
    <t xml:space="preserve">备注
Remarks</t>
  </si>
  <si>
    <t xml:space="preserve">⚡ Icon</t>
  </si>
  <si>
    <t xml:space="preserve">⚡ 标题 ZH</t>
  </si>
  <si>
    <t xml:space="preserve">⚡ Title EN</t>
  </si>
  <si>
    <t xml:space="preserve">⚡ Title MS</t>
  </si>
  <si>
    <t xml:space="preserve">⚡ 特点 ZH</t>
  </si>
  <si>
    <t xml:space="preserve">⚡ Features EN</t>
  </si>
  <si>
    <t xml:space="preserve">⚡ Feat MS</t>
  </si>
  <si>
    <t xml:space="preserve">⚡ 保安摘要 ZH</t>
  </si>
  <si>
    <t xml:space="preserve">⚡ 价格 ZH</t>
  </si>
  <si>
    <t xml:space="preserve">⚡ Price EN</t>
  </si>
  <si>
    <t xml:space="preserve">⚡ Price MS</t>
  </si>
  <si>
    <t xml:space="preserve">⚡ WA ZH</t>
  </si>
  <si>
    <t xml:space="preserve">⚡ WA EN</t>
  </si>
  <si>
    <t xml:space="preserve">(spare)</t>
  </si>
  <si>
    <t xml:space="preserve">⚡ WA MS</t>
  </si>
  <si>
    <t xml:space="preserve">active</t>
  </si>
  <si>
    <r>
      <rPr>
        <i val="true"/>
        <sz val="9"/>
        <color rgb="FF888888"/>
        <rFont val="Arial"/>
        <family val="0"/>
        <charset val="1"/>
      </rPr>
      <t xml:space="preserve">🏢 Condo </t>
    </r>
    <r>
      <rPr>
        <i val="true"/>
        <sz val="9"/>
        <color rgb="FF888888"/>
        <rFont val="Noto Sans CJK SC"/>
        <family val="2"/>
      </rPr>
      <t xml:space="preserve">公寓</t>
    </r>
  </si>
  <si>
    <t xml:space="preserve">condo_kk_1.jpg</t>
  </si>
  <si>
    <t xml:space="preserve">海滨公寓 | 亚庇</t>
  </si>
  <si>
    <t xml:space="preserve">3</t>
  </si>
  <si>
    <t xml:space="preserve">2</t>
  </si>
  <si>
    <t xml:space="preserve">950</t>
  </si>
  <si>
    <t xml:space="preserve">游泳池·健身室·BBQ区</t>
  </si>
  <si>
    <r>
      <rPr>
        <i val="true"/>
        <sz val="9"/>
        <color rgb="FF888888"/>
        <rFont val="Arial"/>
        <family val="0"/>
        <charset val="1"/>
      </rPr>
      <t xml:space="preserve">24</t>
    </r>
    <r>
      <rPr>
        <i val="true"/>
        <sz val="9"/>
        <color rgb="FF888888"/>
        <rFont val="Noto Sans CJK SC"/>
        <family val="2"/>
      </rPr>
      <t xml:space="preserve">小时保安</t>
    </r>
  </si>
  <si>
    <r>
      <rPr>
        <i val="true"/>
        <sz val="9"/>
        <color rgb="FF888888"/>
        <rFont val="Arial"/>
        <family val="0"/>
        <charset val="1"/>
      </rPr>
      <t xml:space="preserve">CCTV</t>
    </r>
    <r>
      <rPr>
        <i val="true"/>
        <sz val="9"/>
        <color rgb="FF888888"/>
        <rFont val="Noto Sans CJK SC"/>
        <family val="2"/>
      </rPr>
      <t xml:space="preserve">监控</t>
    </r>
  </si>
  <si>
    <t xml:space="preserve">等级3门禁</t>
  </si>
  <si>
    <t xml:space="preserve">2800</t>
  </si>
  <si>
    <t xml:space="preserve">新上市 New Listing</t>
  </si>
  <si>
    <t xml:space="preserve">🏡 出售房源 For Sale</t>
  </si>
  <si>
    <t xml:space="preserve">🏗️ 新楼盘 New Launches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</si>
</sst>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0"/>
      <color rgb="FF1E3A5F"/>
      <name val="Noto Sans CJK SC"/>
      <family val="2"/>
      <charset val="1"/>
    </font>
    <font>
      <sz val="10"/>
      <color rgb="FF333333"/>
      <name val="Arial"/>
      <family val="0"/>
      <charset val="1"/>
    </font>
    <font>
      <sz val="10"/>
      <color rgb="FF333333"/>
      <name val="Noto Sans CJK SC"/>
      <family val="2"/>
    </font>
    <font>
      <sz val="10"/>
      <color rgb="FF2E6DA4"/>
      <name val="Arial"/>
      <family val="0"/>
      <charset val="1"/>
    </font>
    <font>
      <sz val="10"/>
      <color rgb="FF2E6DA4"/>
      <name val="Noto Sans CJK SC"/>
      <family val="2"/>
    </font>
    <font>
      <sz val="10"/>
      <color rgb="FF1E3A5F"/>
      <name val="Arial"/>
      <family val="0"/>
      <charset val="1"/>
    </font>
    <font>
      <sz val="10"/>
      <color rgb="FF1E3A5F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b val="true"/>
      <sz val="9"/>
      <color rgb="FF1E3A5F"/>
      <name val="Noto Sans CJK SC"/>
      <family val="2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1E3A5F"/>
      <name val="Noto Sans CJK SC"/>
      <family val="2"/>
    </font>
    <font>
      <i val="true"/>
      <sz val="9"/>
      <color rgb="FF888888"/>
      <name val="Arial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Noto Sans CJK SC"/>
      <family val="2"/>
      <charset val="1"/>
    </font>
    <font>
      <sz val="10"/>
      <color rgb="FF222222"/>
      <name val="Arial"/>
      <family val="0"/>
      <charset val="1"/>
    </font>
    <font>
      <sz val="9"/>
      <color rgb="FF2E6DA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DE7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CE4EC"/>
        <bgColor rgb="FFFEE2E2"/>
      </patternFill>
    </fill>
    <fill>
      <patternFill patternType="solid">
        <fgColor rgb="FFEDE7F6"/>
        <bgColor rgb="FFFCE4EC"/>
      </patternFill>
    </fill>
    <fill>
      <patternFill patternType="solid">
        <fgColor rgb="FFD9E8F5"/>
        <bgColor rgb="FFEDE7F6"/>
      </patternFill>
    </fill>
    <fill>
      <patternFill patternType="solid">
        <fgColor rgb="FFE8F5E9"/>
        <bgColor rgb="FFEDE7F6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CCCCC"/>
      <rgbColor rgb="FF888888"/>
      <rgbColor rgb="FF9999FF"/>
      <rgbColor rgb="FF993366"/>
      <rgbColor rgb="FFFFFDE7"/>
      <rgbColor rgb="FFE8F5E9"/>
      <rgbColor rgb="FF660066"/>
      <rgbColor rgb="FFFF8080"/>
      <rgbColor rgb="FF2E6DA4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FAFAFA"/>
      <rgbColor rgb="FFFCE4E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36209"/>
      <rgbColor rgb="FF666699"/>
      <rgbColor rgb="FF969696"/>
      <rgbColor rgb="FF1E3A5F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30"/>
    <col collapsed="false" customWidth="true" hidden="false" outlineLevel="0" max="4" min="4" style="1" width="5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5</v>
      </c>
      <c r="B7" s="5"/>
      <c r="C7" s="5"/>
      <c r="D7" s="5"/>
      <c r="E7" s="5"/>
      <c r="F7" s="5"/>
    </row>
    <row r="8" customFormat="false" ht="18" hidden="false" customHeight="true" outlineLevel="0" collapsed="false">
      <c r="A8" s="5" t="s">
        <v>6</v>
      </c>
      <c r="B8" s="5"/>
      <c r="C8" s="5"/>
      <c r="D8" s="5"/>
      <c r="E8" s="5"/>
      <c r="F8" s="5"/>
    </row>
    <row r="9" customFormat="false" ht="18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8" hidden="false" customHeight="true" outlineLevel="0" collapsed="false">
      <c r="A10" s="5" t="s">
        <v>8</v>
      </c>
      <c r="B10" s="5"/>
      <c r="C10" s="5"/>
      <c r="D10" s="5"/>
      <c r="E10" s="5"/>
      <c r="F10" s="5"/>
    </row>
    <row r="11" customFormat="false" ht="18" hidden="false" customHeight="true" outlineLevel="0" collapsed="false">
      <c r="A11" s="5" t="s">
        <v>9</v>
      </c>
      <c r="B11" s="5"/>
      <c r="C11" s="5"/>
      <c r="D11" s="5"/>
      <c r="E11" s="5"/>
      <c r="F11" s="5"/>
    </row>
    <row r="12" customFormat="false" ht="18" hidden="false" customHeight="true" outlineLevel="0" collapsed="false">
      <c r="A12" s="5" t="s">
        <v>10</v>
      </c>
      <c r="B12" s="5"/>
      <c r="C12" s="5"/>
      <c r="D12" s="5"/>
      <c r="E12" s="5"/>
      <c r="F12" s="5"/>
    </row>
    <row r="13" customFormat="false" ht="18" hidden="false" customHeight="true" outlineLevel="0" collapsed="false">
      <c r="A13" s="6" t="s">
        <v>11</v>
      </c>
      <c r="B13" s="6"/>
      <c r="C13" s="6"/>
      <c r="D13" s="6"/>
      <c r="E13" s="6"/>
      <c r="F13" s="6"/>
    </row>
    <row r="14" customFormat="false" ht="18" hidden="false" customHeight="true" outlineLevel="0" collapsed="false">
      <c r="A14" s="6" t="s">
        <v>12</v>
      </c>
      <c r="B14" s="6"/>
      <c r="C14" s="6"/>
      <c r="D14" s="6"/>
      <c r="E14" s="6"/>
      <c r="F14" s="6"/>
    </row>
    <row r="15" customFormat="false" ht="18" hidden="false" customHeight="true" outlineLevel="0" collapsed="false">
      <c r="A15" s="6" t="s">
        <v>13</v>
      </c>
      <c r="B15" s="6"/>
      <c r="C15" s="6"/>
      <c r="D15" s="6"/>
      <c r="E15" s="6"/>
      <c r="F15" s="6"/>
    </row>
    <row r="16" customFormat="false" ht="18" hidden="false" customHeight="true" outlineLevel="0" collapsed="false">
      <c r="A16" s="5" t="s">
        <v>14</v>
      </c>
      <c r="B16" s="5"/>
      <c r="C16" s="5"/>
      <c r="D16" s="5"/>
      <c r="E16" s="5"/>
      <c r="F16" s="5"/>
    </row>
    <row r="17" customFormat="false" ht="18" hidden="false" customHeight="true" outlineLevel="0" collapsed="false">
      <c r="A17" s="7" t="s">
        <v>15</v>
      </c>
      <c r="B17" s="7"/>
      <c r="C17" s="7"/>
      <c r="D17" s="7"/>
      <c r="E17" s="7"/>
      <c r="F17" s="7"/>
    </row>
    <row r="18" customFormat="false" ht="18" hidden="false" customHeight="true" outlineLevel="0" collapsed="false">
      <c r="A18" s="8"/>
      <c r="B18" s="8"/>
      <c r="C18" s="8"/>
      <c r="D18" s="8"/>
      <c r="E18" s="8"/>
      <c r="F18" s="8"/>
    </row>
    <row r="19" customFormat="false" ht="18" hidden="false" customHeight="true" outlineLevel="0" collapsed="false">
      <c r="A19" s="9" t="s">
        <v>16</v>
      </c>
      <c r="B19" s="9"/>
      <c r="C19" s="9"/>
      <c r="D19" s="9"/>
      <c r="E19" s="9"/>
      <c r="F19" s="9"/>
    </row>
    <row r="20" customFormat="false" ht="18" hidden="false" customHeight="true" outlineLevel="0" collapsed="false">
      <c r="A20" s="10" t="s">
        <v>17</v>
      </c>
      <c r="B20" s="10"/>
      <c r="C20" s="10"/>
      <c r="D20" s="10"/>
      <c r="E20" s="10"/>
      <c r="F20" s="10"/>
    </row>
    <row r="21" customFormat="false" ht="18" hidden="false" customHeight="true" outlineLevel="0" collapsed="false">
      <c r="A21" s="10" t="s">
        <v>18</v>
      </c>
      <c r="B21" s="10"/>
      <c r="C21" s="10"/>
      <c r="D21" s="10"/>
      <c r="E21" s="10"/>
      <c r="F21" s="10"/>
    </row>
    <row r="22" customFormat="false" ht="18" hidden="false" customHeight="true" outlineLevel="0" collapsed="false">
      <c r="A22" s="6" t="s">
        <v>19</v>
      </c>
      <c r="B22" s="6"/>
      <c r="C22" s="6"/>
      <c r="D22" s="6"/>
      <c r="E22" s="6"/>
      <c r="F22" s="6"/>
    </row>
    <row r="23" customFormat="false" ht="18" hidden="false" customHeight="true" outlineLevel="0" collapsed="false">
      <c r="A23" s="10" t="s">
        <v>20</v>
      </c>
      <c r="B23" s="10"/>
      <c r="C23" s="10"/>
      <c r="D23" s="10"/>
      <c r="E23" s="10"/>
      <c r="F23" s="10"/>
    </row>
    <row r="24" customFormat="false" ht="18" hidden="false" customHeight="true" outlineLevel="0" collapsed="false">
      <c r="A24" s="11" t="s">
        <v>21</v>
      </c>
      <c r="B24" s="11"/>
      <c r="C24" s="11"/>
      <c r="D24" s="11"/>
      <c r="E24" s="11"/>
      <c r="F24" s="11"/>
    </row>
    <row r="25" customFormat="false" ht="18" hidden="false" customHeight="true" outlineLevel="0" collapsed="false">
      <c r="A25" s="8"/>
      <c r="B25" s="8"/>
      <c r="C25" s="8"/>
      <c r="D25" s="8"/>
      <c r="E25" s="8"/>
      <c r="F25" s="8"/>
    </row>
    <row r="26" customFormat="false" ht="18" hidden="false" customHeight="true" outlineLevel="0" collapsed="false">
      <c r="A26" s="12" t="s">
        <v>22</v>
      </c>
      <c r="B26" s="12"/>
      <c r="C26" s="12"/>
      <c r="D26" s="12"/>
      <c r="E26" s="12"/>
      <c r="F26" s="12"/>
    </row>
    <row r="27" customFormat="false" ht="18" hidden="false" customHeight="true" outlineLevel="0" collapsed="false">
      <c r="A27" s="5" t="s">
        <v>23</v>
      </c>
      <c r="B27" s="5"/>
      <c r="C27" s="5"/>
      <c r="D27" s="5"/>
      <c r="E27" s="5"/>
      <c r="F27" s="5"/>
    </row>
    <row r="28" customFormat="false" ht="18" hidden="false" customHeight="true" outlineLevel="0" collapsed="false">
      <c r="A28" s="5" t="s">
        <v>24</v>
      </c>
      <c r="B28" s="5"/>
      <c r="C28" s="5"/>
      <c r="D28" s="5"/>
      <c r="E28" s="5"/>
      <c r="F28" s="5"/>
    </row>
    <row r="29" customFormat="false" ht="18" hidden="false" customHeight="true" outlineLevel="0" collapsed="false">
      <c r="A29" s="5" t="s">
        <v>25</v>
      </c>
      <c r="B29" s="5"/>
      <c r="C29" s="5"/>
      <c r="D29" s="5"/>
      <c r="E29" s="5"/>
      <c r="F29" s="5"/>
    </row>
    <row r="30" customFormat="false" ht="15" hidden="false" customHeight="true" outlineLevel="0" collapsed="false"/>
    <row r="31" customFormat="false" ht="18" hidden="false" customHeight="true" outlineLevel="0" collapsed="false">
      <c r="A31" s="13" t="s">
        <v>26</v>
      </c>
      <c r="B31" s="13"/>
      <c r="C31" s="13"/>
      <c r="D31" s="13"/>
      <c r="E31" s="13"/>
      <c r="F31" s="13"/>
    </row>
    <row r="32" customFormat="false" ht="15" hidden="false" customHeight="true" outlineLevel="0" collapsed="false">
      <c r="A32" s="14" t="s">
        <v>27</v>
      </c>
      <c r="B32" s="14" t="s">
        <v>28</v>
      </c>
      <c r="C32" s="15" t="s">
        <v>29</v>
      </c>
    </row>
    <row r="33" customFormat="false" ht="15" hidden="false" customHeight="true" outlineLevel="0" collapsed="false">
      <c r="A33" s="15" t="s">
        <v>30</v>
      </c>
      <c r="B33" s="15" t="s">
        <v>31</v>
      </c>
      <c r="C33" s="15" t="s">
        <v>32</v>
      </c>
    </row>
    <row r="34" customFormat="false" ht="15" hidden="false" customHeight="true" outlineLevel="0" collapsed="false">
      <c r="A34" s="15" t="s">
        <v>33</v>
      </c>
      <c r="B34" s="15" t="s">
        <v>34</v>
      </c>
      <c r="C34" s="14" t="s">
        <v>35</v>
      </c>
    </row>
    <row r="35" customFormat="false" ht="15" hidden="false" customHeight="true" outlineLevel="0" collapsed="false">
      <c r="A35" s="15" t="s">
        <v>36</v>
      </c>
      <c r="B35" s="15" t="s">
        <v>37</v>
      </c>
      <c r="C35" s="15" t="s">
        <v>38</v>
      </c>
    </row>
    <row r="36" customFormat="false" ht="15" hidden="false" customHeight="true" outlineLevel="0" collapsed="false">
      <c r="A36" s="15" t="s">
        <v>39</v>
      </c>
      <c r="B36" s="15" t="s">
        <v>40</v>
      </c>
      <c r="C36" s="15" t="s">
        <v>41</v>
      </c>
    </row>
    <row r="37" customFormat="false" ht="15" hidden="false" customHeight="true" outlineLevel="0" collapsed="false">
      <c r="A37" s="15" t="s">
        <v>42</v>
      </c>
      <c r="B37" s="15" t="s">
        <v>43</v>
      </c>
      <c r="C37" s="15" t="s">
        <v>44</v>
      </c>
    </row>
  </sheetData>
  <mergeCells count="47">
    <mergeCell ref="A1:F1"/>
    <mergeCell ref="B1:D1"/>
    <mergeCell ref="A2:F2"/>
    <mergeCell ref="B2:D2"/>
    <mergeCell ref="A4:F4"/>
    <mergeCell ref="C4:D4"/>
    <mergeCell ref="A5:F5"/>
    <mergeCell ref="B5:D5"/>
    <mergeCell ref="A6:F6"/>
    <mergeCell ref="C6:D6"/>
    <mergeCell ref="A7:F7"/>
    <mergeCell ref="B7:D7"/>
    <mergeCell ref="A8:F8"/>
    <mergeCell ref="C8:D8"/>
    <mergeCell ref="A9:F9"/>
    <mergeCell ref="B9:D9"/>
    <mergeCell ref="A10:F10"/>
    <mergeCell ref="C10:D10"/>
    <mergeCell ref="A11:F11"/>
    <mergeCell ref="B11:D11"/>
    <mergeCell ref="A12:F12"/>
    <mergeCell ref="C12:D12"/>
    <mergeCell ref="A13:F13"/>
    <mergeCell ref="B13:D13"/>
    <mergeCell ref="A14:F14"/>
    <mergeCell ref="C14:D14"/>
    <mergeCell ref="A15:F15"/>
    <mergeCell ref="B15:D15"/>
    <mergeCell ref="A16:F16"/>
    <mergeCell ref="C16:D16"/>
    <mergeCell ref="A17:F17"/>
    <mergeCell ref="B17:D17"/>
    <mergeCell ref="A18:F18"/>
    <mergeCell ref="C18:D18"/>
    <mergeCell ref="A19:F19"/>
    <mergeCell ref="A20:F20"/>
    <mergeCell ref="A21:F21"/>
    <mergeCell ref="B21:D21"/>
    <mergeCell ref="A22:F22"/>
    <mergeCell ref="A23:F23"/>
    <mergeCell ref="A24:F24"/>
    <mergeCell ref="A25:F25"/>
    <mergeCell ref="A26:F26"/>
    <mergeCell ref="A27:F27"/>
    <mergeCell ref="A28:F28"/>
    <mergeCell ref="A29:F29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A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7" min="5" style="1" width="10"/>
    <col collapsed="false" customWidth="true" hidden="false" outlineLevel="0" max="8" min="8" style="1" width="22"/>
    <col collapsed="false" customWidth="true" hidden="false" outlineLevel="0" max="11" min="9" style="1" width="14"/>
    <col collapsed="false" customWidth="true" hidden="false" outlineLevel="0" max="14" min="12" style="1" width="12"/>
    <col collapsed="false" customWidth="true" hidden="false" outlineLevel="0" max="17" min="15" style="1" width="24"/>
    <col collapsed="false" customWidth="true" hidden="false" outlineLevel="0" max="21" min="18" style="1" width="30"/>
    <col collapsed="false" customWidth="true" hidden="false" outlineLevel="0" max="24" min="22" style="1" width="20"/>
    <col collapsed="false" customWidth="true" hidden="false" outlineLevel="0" max="26" min="25" style="1" width="30"/>
    <col collapsed="false" customWidth="true" hidden="false" outlineLevel="0" max="27" min="27" style="1" width="5"/>
    <col collapsed="false" customWidth="true" hidden="false" outlineLevel="0" max="28" min="28" style="1" width="30"/>
  </cols>
  <sheetData>
    <row r="1" customFormat="false" ht="31.5" hidden="false" customHeight="true" outlineLevel="0" collapsed="false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7"/>
      <c r="T1" s="17"/>
      <c r="U1" s="17"/>
      <c r="V1" s="17"/>
      <c r="W1" s="17"/>
      <c r="X1" s="17"/>
    </row>
    <row r="2" customFormat="false" ht="21.75" hidden="false" customHeight="true" outlineLevel="0" collapsed="false">
      <c r="A2" s="18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customFormat="false" ht="36" hidden="false" customHeight="true" outlineLevel="0" collapsed="false">
      <c r="A3" s="19" t="s">
        <v>47</v>
      </c>
      <c r="B3" s="19" t="s">
        <v>48</v>
      </c>
      <c r="C3" s="19" t="s">
        <v>49</v>
      </c>
      <c r="D3" s="19" t="s">
        <v>50</v>
      </c>
      <c r="E3" s="19" t="s">
        <v>51</v>
      </c>
      <c r="F3" s="19" t="s">
        <v>52</v>
      </c>
      <c r="G3" s="19" t="s">
        <v>53</v>
      </c>
      <c r="H3" s="19" t="s">
        <v>54</v>
      </c>
      <c r="I3" s="20" t="s">
        <v>55</v>
      </c>
      <c r="J3" s="21" t="s">
        <v>56</v>
      </c>
      <c r="K3" s="20" t="s">
        <v>57</v>
      </c>
      <c r="L3" s="19" t="s">
        <v>58</v>
      </c>
      <c r="M3" s="22" t="s">
        <v>59</v>
      </c>
      <c r="N3" s="23" t="s">
        <v>60</v>
      </c>
      <c r="O3" s="24" t="s">
        <v>61</v>
      </c>
      <c r="P3" s="23" t="s">
        <v>62</v>
      </c>
      <c r="Q3" s="23" t="s">
        <v>63</v>
      </c>
      <c r="R3" s="24" t="s">
        <v>64</v>
      </c>
      <c r="S3" s="23" t="s">
        <v>65</v>
      </c>
      <c r="T3" s="23" t="s">
        <v>66</v>
      </c>
      <c r="U3" s="24" t="s">
        <v>67</v>
      </c>
      <c r="V3" s="24" t="s">
        <v>68</v>
      </c>
      <c r="W3" s="23" t="s">
        <v>69</v>
      </c>
      <c r="X3" s="23" t="s">
        <v>70</v>
      </c>
      <c r="Y3" s="25" t="s">
        <v>71</v>
      </c>
      <c r="Z3" s="25" t="s">
        <v>72</v>
      </c>
      <c r="AA3" s="23" t="s">
        <v>73</v>
      </c>
      <c r="AB3" s="25" t="s">
        <v>74</v>
      </c>
    </row>
    <row r="4" customFormat="false" ht="18" hidden="false" customHeight="true" outlineLevel="0" collapsed="false">
      <c r="A4" s="26" t="s">
        <v>75</v>
      </c>
      <c r="B4" s="26" t="s">
        <v>76</v>
      </c>
      <c r="C4" s="26" t="s">
        <v>77</v>
      </c>
      <c r="D4" s="27" t="s">
        <v>78</v>
      </c>
      <c r="E4" s="26" t="s">
        <v>79</v>
      </c>
      <c r="F4" s="26" t="s">
        <v>80</v>
      </c>
      <c r="G4" s="26" t="s">
        <v>81</v>
      </c>
      <c r="H4" s="27" t="s">
        <v>82</v>
      </c>
      <c r="I4" s="26" t="s">
        <v>83</v>
      </c>
      <c r="J4" s="26" t="s">
        <v>84</v>
      </c>
      <c r="K4" s="27" t="s">
        <v>85</v>
      </c>
      <c r="L4" s="26" t="s">
        <v>86</v>
      </c>
      <c r="M4" s="27" t="s">
        <v>87</v>
      </c>
    </row>
    <row r="5" customFormat="false" ht="51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9"/>
      <c r="J5" s="29"/>
      <c r="K5" s="29"/>
      <c r="L5" s="28"/>
      <c r="M5" s="30"/>
      <c r="N5" s="31" t="str">
        <f aca="false">IFERROR(ifs(B5="🏢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fa-home</v>
      </c>
      <c r="O5" s="31" t="str">
        <f aca="false">IF(D5&lt;&gt;"",D5,"")</f>
        <v/>
      </c>
      <c r="P5" s="31" t="str">
        <f aca="false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/>
      </c>
      <c r="Q5" s="31" t="str">
        <f aca="false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/>
      </c>
      <c r="R5" s="31" t="str">
        <f aca="false">IF(D5&lt;&gt;"","📍 "&amp;IF(E5&lt;&gt;"",E5&amp;"房","")&amp;IF(F5&lt;&gt;"",F5&amp;"卫 ","")&amp;IF(G5&lt;&gt;"",G5&amp;" sqft","")&amp;IF(AND(OR(E5&lt;&gt;"",G5&lt;&gt;""),H5&lt;&gt;"")," · ","")&amp;IF(H5&lt;&gt;"",H5,""),"")</f>
        <v/>
      </c>
      <c r="S5" s="31" t="str">
        <f aca="false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" s="31" t="str">
        <f aca="false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" s="32" t="str">
        <f aca="false">IF(OR(I5&lt;&gt;"",J5&lt;&gt;"",K5&lt;&gt;""),"🔒 "&amp;IF(I5&lt;&gt;"",I5,"")&amp;IF(AND(I5&lt;&gt;"",J5&lt;&gt;"")," · ","")&amp;IF(J5&lt;&gt;"",J5,"")&amp;IF(AND(OR(I5&lt;&gt;"",J5&lt;&gt;""),K5&lt;&gt;"")," · ","")&amp;IF(K5&lt;&gt;"",K5,""),"")</f>
        <v/>
      </c>
      <c r="V5" s="31" t="str">
        <f aca="false">IF(L5&lt;&gt;"","💰 月租 RM "&amp;TEXT(L5,"#,##0"),"")</f>
        <v/>
      </c>
      <c r="W5" s="31" t="str">
        <f aca="false">IF(L5&lt;&gt;"","💰 Monthly Rent RM "&amp;TEXT(L5,"#,##0"),"")</f>
        <v/>
      </c>
      <c r="X5" s="31" t="str">
        <f aca="false">IF(L5&lt;&gt;"","💰 Sewa Bulanan RM "&amp;TEXT(L5,"#,##0"),"")</f>
        <v/>
      </c>
      <c r="Y5" s="33" t="str">
        <f aca="false">IF(D5&lt;&gt;"","您好！我想咨询出租：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月租 RM "&amp;TEXT(L5,"#,##0")&amp;"
","")&amp;"
请问还有空档吗？谢谢！","")</f>
        <v/>
      </c>
      <c r="Z5" s="33" t="str">
        <f aca="false">IF(D5&lt;&gt;"","Hi! I'd like to make a rental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Monthly Rent RM "&amp;TEXT(L5,"#,##0")&amp;"
","")&amp;"
Is this still available? Thank you!","")</f>
        <v/>
      </c>
      <c r="AA5" s="31"/>
      <c r="AB5" s="33" t="str">
        <f aca="false">IF(D5&lt;&gt;"","Helo! Saya ingin membuat pertanyaan sewa: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Sewa Bulanan RM "&amp;TEXT(L5,"#,##0")&amp;"
","")&amp;"
Adakah masih tersedia? Terima kasih!","")</f>
        <v/>
      </c>
    </row>
    <row r="6" customFormat="false" ht="51.75" hidden="false" customHeight="true" outlineLevel="0" collapsed="false">
      <c r="A6" s="28"/>
      <c r="B6" s="28"/>
      <c r="C6" s="28"/>
      <c r="D6" s="28"/>
      <c r="E6" s="28"/>
      <c r="F6" s="28"/>
      <c r="G6" s="28"/>
      <c r="H6" s="28"/>
      <c r="I6" s="29"/>
      <c r="J6" s="29"/>
      <c r="K6" s="29"/>
      <c r="L6" s="28"/>
      <c r="M6" s="30"/>
      <c r="N6" s="31" t="str">
        <f aca="false">IFERROR(ifs(B6="🏢 Condo 公寓","fa-building",B6="🏠 Apartment 单位","fa-home",B6="🌿 即租即住","fa-home",B6="🌿 近国际学校","fa-school",B6="📌 商业旺铺","fa-store",B6="🌟 海景豪宅","fa-water-ladder",B6="📈 投资优选","fa-chart-line",B6="🏞️ 花园住宅","fa-tree",B6="🌟 2026全新地标","fa-drafting-compass",B6="📈 海外投资优选","fa-globe",B6="🌆 核心地段","fa-city",B6="🔥 限时优惠","fa-fire",B6="✅ 永久产权","fa-certificate",B6="🏅 高回报","fa-medal",B6="🏖️ 度假胜地","fa-umbrella-beach",B6="🏫 学区优选","fa-graduation-cap",B6="🛣️ 交通便利","fa-road",B6="🔑 即买即住","fa-key"),"fa-home")</f>
        <v>fa-home</v>
      </c>
      <c r="O6" s="31" t="str">
        <f aca="false">IF(D6&lt;&gt;"",D6,"")</f>
        <v/>
      </c>
      <c r="P6" s="31" t="str">
        <f aca="false">IF(D6&lt;&gt;"",SUBSTITUTE(SUBSTITUTE(SUBSTITUTE(SUBSTITUTE(SUBSTITUTE(SUBSTITUTE(SUBSTITUTE(SUBSTITUTE(SUBSTITUTE(SUBSTITUTE(D6,"亚庇","Kota Kinabalu"),"公寓","Condo"),"排屋","Terrace"),"别墅","Villa"),"店铺","Shop"),"新山","Johor Bahru"),"市中心","City Centre"),"高级","Premium"),"单位","Unit"),"住宅","Residence"),"")</f>
        <v/>
      </c>
      <c r="Q6" s="31" t="str">
        <f aca="false">IF(D6&lt;&gt;"",SUBSTITUTE(SUBSTITUTE(SUBSTITUTE(SUBSTITUTE(SUBSTITUTE(SUBSTITUTE(SUBSTITUTE(SUBSTITUTE(SUBSTITUTE(SUBSTITUTE(D6,"亚庇","Kota Kinabalu"),"公寓","Kondominium"),"排屋","Rumah Teres"),"别墅","Vila"),"店铺","Kedai"),"新山","Johor Bahru"),"市中心","Pusat Bandar"),"高级","Premium"),"单位","Unit"),"住宅","Kediaman"),"")</f>
        <v/>
      </c>
      <c r="R6" s="31" t="str">
        <f aca="false">IF(D6&lt;&gt;"","📍 "&amp;IF(E6&lt;&gt;"",E6&amp;"房","")&amp;IF(F6&lt;&gt;"",F6&amp;"卫 ","")&amp;IF(G6&lt;&gt;"",G6&amp;" sqft","")&amp;IF(AND(OR(E6&lt;&gt;"",G6&lt;&gt;""),H6&lt;&gt;"")," · ","")&amp;IF(H6&lt;&gt;"",H6,""),"")</f>
        <v/>
      </c>
      <c r="S6" s="31" t="str">
        <f aca="false">IF(D6&lt;&gt;"","📍 "&amp;IF(E6&lt;&gt;"",E6&amp;"BR ","")&amp;IF(F6&lt;&gt;"",F6&amp;"BA ","")&amp;IF(G6&lt;&gt;"",G6&amp;" sqft","")&amp;IF(AND(OR(E6&lt;&gt;"",G6&lt;&gt;""),H6&lt;&gt;"")," · ","")&amp;IF(H6&lt;&gt;"",SUBSTITUTE(SUBSTITUTE(SUBSTITUTE(SUBSTITUTE(SUBSTITUTE(SUBSTITUTE(SUBSTITUTE(SUBSTITUTE(SUBSTITUTE(SUBSTITUTE(H6,"游泳池","Swimming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6" s="31" t="str">
        <f aca="false">IF(D6&lt;&gt;"","📍 "&amp;IF(E6&lt;&gt;"",E6&amp;"Bilik ","")&amp;IF(F6&lt;&gt;"",F6&amp;"Bilik Air ","")&amp;IF(G6&lt;&gt;"",G6&amp;" sqft","")&amp;IF(AND(OR(E6&lt;&gt;"",G6&lt;&gt;""),H6&lt;&gt;"")," · ","")&amp;IF(H6&lt;&gt;"",SUBSTITUTE(SUBSTITUTE(SUBSTITUTE(SUBSTITUTE(SUBSTITUTE(SUBSTITUTE(SUBSTITUTE(SUBSTITUTE(SUBSTITUTE(SUBSTITUTE(H6,"游泳池","Kolam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6" s="32" t="str">
        <f aca="false">IF(OR(I6&lt;&gt;"",J6&lt;&gt;"",K6&lt;&gt;""),"🔒 "&amp;IF(I6&lt;&gt;"",I6,"")&amp;IF(AND(I6&lt;&gt;"",J6&lt;&gt;"")," · ","")&amp;IF(J6&lt;&gt;"",J6,"")&amp;IF(AND(OR(I6&lt;&gt;"",J6&lt;&gt;""),K6&lt;&gt;"")," · ","")&amp;IF(K6&lt;&gt;"",K6,""),"")</f>
        <v/>
      </c>
      <c r="V6" s="31" t="str">
        <f aca="false">IF(L6&lt;&gt;"","💰 月租 RM "&amp;TEXT(L6,"#,##0"),"")</f>
        <v/>
      </c>
      <c r="W6" s="31" t="str">
        <f aca="false">IF(L6&lt;&gt;"","💰 Monthly Rent RM "&amp;TEXT(L6,"#,##0"),"")</f>
        <v/>
      </c>
      <c r="X6" s="31" t="str">
        <f aca="false">IF(L6&lt;&gt;"","💰 Sewa Bulanan RM "&amp;TEXT(L6,"#,##0"),"")</f>
        <v/>
      </c>
      <c r="Y6" s="33" t="str">
        <f aca="false">IF(D6&lt;&gt;"","您好！我想咨询出租：
🏠 "&amp;D6&amp;"
"&amp;IF(E6&lt;&gt;"","🛏 "&amp;E6&amp;"房"&amp;IF(F6&lt;&gt;""," "&amp;F6&amp;"卫","")&amp;"
","")&amp;IF(G6&lt;&gt;"","📐 "&amp;G6&amp;" sqft
","")&amp;IF(H6&lt;&gt;"","🏊 "&amp;H6&amp;"
","")&amp;IF(U6&lt;&gt;"",U6&amp;"
","")&amp;IF(L6&lt;&gt;"","💰 月租 RM "&amp;TEXT(L6,"#,##0")&amp;"
","")&amp;"
请问还有空档吗？谢谢！","")</f>
        <v/>
      </c>
      <c r="Z6" s="33" t="str">
        <f aca="false">IF(D6&lt;&gt;"","Hi! I'd like to make a rental enquiry:
🏠 "&amp;P6&amp;"
"&amp;IF(E6&lt;&gt;"","🛏 "&amp;E6&amp;"BR"&amp;IF(F6&lt;&gt;""," "&amp;F6&amp;"BA","")&amp;"
","")&amp;IF(G6&lt;&gt;"","📐 "&amp;G6&amp;" sqft
","")&amp;IF(H6&lt;&gt;"","🏊 "&amp;SUBSTITUTE(SUBSTITUTE(SUBSTITUTE(SUBSTITUTE(SUBSTITUTE(SUBSTITUTE(SUBSTITUTE(SUBSTITUTE(SUBSTITUTE(SUBSTITUTE(H6,"游泳池","Swimming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","")&amp;IF(L6&lt;&gt;"","💰 Monthly Rent RM "&amp;TEXT(L6,"#,##0")&amp;"
","")&amp;"
Is this still available? Thank you!","")</f>
        <v/>
      </c>
      <c r="AA6" s="31"/>
      <c r="AB6" s="33" t="str">
        <f aca="false">IF(D6&lt;&gt;"","Helo! Saya ingin membuat pertanyaan sewa:
🏠 "&amp;Q6&amp;"
"&amp;IF(E6&lt;&gt;"","🛏 "&amp;E6&amp;"Bilik"&amp;IF(F6&lt;&gt;""," "&amp;F6&amp;"Bilik Air","")&amp;"
","")&amp;IF(G6&lt;&gt;"","📐 "&amp;G6&amp;" sqft
","")&amp;IF(H6&lt;&gt;"","🏊 "&amp;SUBSTITUTE(SUBSTITUTE(SUBSTITUTE(SUBSTITUTE(SUBSTITUTE(SUBSTITUTE(SUBSTITUTE(SUBSTITUTE(SUBSTITUTE(SUBSTITUTE(H6,"游泳池","Kolam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","")&amp;IF(L6&lt;&gt;"","💰 Sewa Bulanan RM "&amp;TEXT(L6,"#,##0")&amp;"
","")&amp;"
Adakah masih tersedia? Terima kasih!","")</f>
        <v/>
      </c>
    </row>
    <row r="7" customFormat="false" ht="51.7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9"/>
      <c r="J7" s="29"/>
      <c r="K7" s="29"/>
      <c r="L7" s="28"/>
      <c r="M7" s="30"/>
      <c r="N7" s="31" t="str">
        <f aca="false">IFERROR(ifs(B7="🏢 Condo 公寓","fa-building",B7="🏠 Apartment 单位","fa-home",B7="🌿 即租即住","fa-home",B7="🌿 近国际学校","fa-school",B7="📌 商业旺铺","fa-store",B7="🌟 海景豪宅","fa-water-ladder",B7="📈 投资优选","fa-chart-line",B7="🏞️ 花园住宅","fa-tree",B7="🌟 2026全新地标","fa-drafting-compass",B7="📈 海外投资优选","fa-globe",B7="🌆 核心地段","fa-city",B7="🔥 限时优惠","fa-fire",B7="✅ 永久产权","fa-certificate",B7="🏅 高回报","fa-medal",B7="🏖️ 度假胜地","fa-umbrella-beach",B7="🏫 学区优选","fa-graduation-cap",B7="🛣️ 交通便利","fa-road",B7="🔑 即买即住","fa-key"),"fa-home")</f>
        <v>fa-home</v>
      </c>
      <c r="O7" s="31" t="str">
        <f aca="false">IF(D7&lt;&gt;"",D7,"")</f>
        <v/>
      </c>
      <c r="P7" s="31" t="str">
        <f aca="false">IF(D7&lt;&gt;"",SUBSTITUTE(SUBSTITUTE(SUBSTITUTE(SUBSTITUTE(SUBSTITUTE(SUBSTITUTE(SUBSTITUTE(SUBSTITUTE(SUBSTITUTE(SUBSTITUTE(D7,"亚庇","Kota Kinabalu"),"公寓","Condo"),"排屋","Terrace"),"别墅","Villa"),"店铺","Shop"),"新山","Johor Bahru"),"市中心","City Centre"),"高级","Premium"),"单位","Unit"),"住宅","Residence"),"")</f>
        <v/>
      </c>
      <c r="Q7" s="31" t="str">
        <f aca="false">IF(D7&lt;&gt;"",SUBSTITUTE(SUBSTITUTE(SUBSTITUTE(SUBSTITUTE(SUBSTITUTE(SUBSTITUTE(SUBSTITUTE(SUBSTITUTE(SUBSTITUTE(SUBSTITUTE(D7,"亚庇","Kota Kinabalu"),"公寓","Kondominium"),"排屋","Rumah Teres"),"别墅","Vila"),"店铺","Kedai"),"新山","Johor Bahru"),"市中心","Pusat Bandar"),"高级","Premium"),"单位","Unit"),"住宅","Kediaman"),"")</f>
        <v/>
      </c>
      <c r="R7" s="31" t="str">
        <f aca="false">IF(D7&lt;&gt;"","📍 "&amp;IF(E7&lt;&gt;"",E7&amp;"房","")&amp;IF(F7&lt;&gt;"",F7&amp;"卫 ","")&amp;IF(G7&lt;&gt;"",G7&amp;" sqft","")&amp;IF(AND(OR(E7&lt;&gt;"",G7&lt;&gt;""),H7&lt;&gt;"")," · ","")&amp;IF(H7&lt;&gt;"",H7,""),"")</f>
        <v/>
      </c>
      <c r="S7" s="31" t="str">
        <f aca="false">IF(D7&lt;&gt;"","📍 "&amp;IF(E7&lt;&gt;"",E7&amp;"BR ","")&amp;IF(F7&lt;&gt;"",F7&amp;"BA ","")&amp;IF(G7&lt;&gt;"",G7&amp;" sqft","")&amp;IF(AND(OR(E7&lt;&gt;"",G7&lt;&gt;""),H7&lt;&gt;"")," · ","")&amp;IF(H7&lt;&gt;"",SUBSTITUTE(SUBSTITUTE(SUBSTITUTE(SUBSTITUTE(SUBSTITUTE(SUBSTITUTE(SUBSTITUTE(SUBSTITUTE(SUBSTITUTE(SUBSTITUTE(H7,"游泳池","Swimming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7" s="31" t="str">
        <f aca="false">IF(D7&lt;&gt;"","📍 "&amp;IF(E7&lt;&gt;"",E7&amp;"Bilik ","")&amp;IF(F7&lt;&gt;"",F7&amp;"Bilik Air ","")&amp;IF(G7&lt;&gt;"",G7&amp;" sqft","")&amp;IF(AND(OR(E7&lt;&gt;"",G7&lt;&gt;""),H7&lt;&gt;"")," · ","")&amp;IF(H7&lt;&gt;"",SUBSTITUTE(SUBSTITUTE(SUBSTITUTE(SUBSTITUTE(SUBSTITUTE(SUBSTITUTE(SUBSTITUTE(SUBSTITUTE(SUBSTITUTE(SUBSTITUTE(H7,"游泳池","Kolam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7" s="32" t="str">
        <f aca="false">IF(OR(I7&lt;&gt;"",J7&lt;&gt;"",K7&lt;&gt;""),"🔒 "&amp;IF(I7&lt;&gt;"",I7,"")&amp;IF(AND(I7&lt;&gt;"",J7&lt;&gt;"")," · ","")&amp;IF(J7&lt;&gt;"",J7,"")&amp;IF(AND(OR(I7&lt;&gt;"",J7&lt;&gt;""),K7&lt;&gt;"")," · ","")&amp;IF(K7&lt;&gt;"",K7,""),"")</f>
        <v/>
      </c>
      <c r="V7" s="31" t="str">
        <f aca="false">IF(L7&lt;&gt;"","💰 月租 RM "&amp;TEXT(L7,"#,##0"),"")</f>
        <v/>
      </c>
      <c r="W7" s="31" t="str">
        <f aca="false">IF(L7&lt;&gt;"","💰 Monthly Rent RM "&amp;TEXT(L7,"#,##0"),"")</f>
        <v/>
      </c>
      <c r="X7" s="31" t="str">
        <f aca="false">IF(L7&lt;&gt;"","💰 Sewa Bulanan RM "&amp;TEXT(L7,"#,##0"),"")</f>
        <v/>
      </c>
      <c r="Y7" s="33" t="str">
        <f aca="false">IF(D7&lt;&gt;"","您好！我想咨询出租：
🏠 "&amp;D7&amp;"
"&amp;IF(E7&lt;&gt;"","🛏 "&amp;E7&amp;"房"&amp;IF(F7&lt;&gt;""," "&amp;F7&amp;"卫","")&amp;"
","")&amp;IF(G7&lt;&gt;"","📐 "&amp;G7&amp;" sqft
","")&amp;IF(H7&lt;&gt;"","🏊 "&amp;H7&amp;"
","")&amp;IF(U7&lt;&gt;"",U7&amp;"
","")&amp;IF(L7&lt;&gt;"","💰 月租 RM "&amp;TEXT(L7,"#,##0")&amp;"
","")&amp;"
请问还有空档吗？谢谢！","")</f>
        <v/>
      </c>
      <c r="Z7" s="33" t="str">
        <f aca="false">IF(D7&lt;&gt;"","Hi! I'd like to make a rental enquiry:
🏠 "&amp;P7&amp;"
"&amp;IF(E7&lt;&gt;"","🛏 "&amp;E7&amp;"BR"&amp;IF(F7&lt;&gt;""," "&amp;F7&amp;"BA","")&amp;"
","")&amp;IF(G7&lt;&gt;"","📐 "&amp;G7&amp;" sqft
","")&amp;IF(H7&lt;&gt;"","🏊 "&amp;SUBSTITUTE(SUBSTITUTE(SUBSTITUTE(SUBSTITUTE(SUBSTITUTE(SUBSTITUTE(SUBSTITUTE(SUBSTITUTE(SUBSTITUTE(SUBSTITUTE(H7,"游泳池","Swimming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","")&amp;IF(L7&lt;&gt;"","💰 Monthly Rent RM "&amp;TEXT(L7,"#,##0")&amp;"
","")&amp;"
Is this still available? Thank you!","")</f>
        <v/>
      </c>
      <c r="AA7" s="31"/>
      <c r="AB7" s="33" t="str">
        <f aca="false">IF(D7&lt;&gt;"","Helo! Saya ingin membuat pertanyaan sewa:
🏠 "&amp;Q7&amp;"
"&amp;IF(E7&lt;&gt;"","🛏 "&amp;E7&amp;"Bilik"&amp;IF(F7&lt;&gt;""," "&amp;F7&amp;"Bilik Air","")&amp;"
","")&amp;IF(G7&lt;&gt;"","📐 "&amp;G7&amp;" sqft
","")&amp;IF(H7&lt;&gt;"","🏊 "&amp;SUBSTITUTE(SUBSTITUTE(SUBSTITUTE(SUBSTITUTE(SUBSTITUTE(SUBSTITUTE(SUBSTITUTE(SUBSTITUTE(SUBSTITUTE(SUBSTITUTE(H7,"游泳池","Kolam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","")&amp;IF(L7&lt;&gt;"","💰 Sewa Bulanan RM "&amp;TEXT(L7,"#,##0")&amp;"
","")&amp;"
Adakah masih tersedia? Terima kasih!","")</f>
        <v/>
      </c>
    </row>
    <row r="8" customFormat="false" ht="51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9"/>
      <c r="J8" s="29"/>
      <c r="K8" s="29"/>
      <c r="L8" s="28"/>
      <c r="M8" s="30"/>
      <c r="N8" s="31" t="str">
        <f aca="false">IFERROR(ifs(B8="🏢 Condo 公寓","fa-building",B8="🏠 Apartment 单位","fa-home",B8="🌿 即租即住","fa-home",B8="🌿 近国际学校","fa-school",B8="📌 商业旺铺","fa-store",B8="🌟 海景豪宅","fa-water-ladder",B8="📈 投资优选","fa-chart-line",B8="🏞️ 花园住宅","fa-tree",B8="🌟 2026全新地标","fa-drafting-compass",B8="📈 海外投资优选","fa-globe",B8="🌆 核心地段","fa-city",B8="🔥 限时优惠","fa-fire",B8="✅ 永久产权","fa-certificate",B8="🏅 高回报","fa-medal",B8="🏖️ 度假胜地","fa-umbrella-beach",B8="🏫 学区优选","fa-graduation-cap",B8="🛣️ 交通便利","fa-road",B8="🔑 即买即住","fa-key"),"fa-home")</f>
        <v>fa-home</v>
      </c>
      <c r="O8" s="31" t="str">
        <f aca="false">IF(D8&lt;&gt;"",D8,"")</f>
        <v/>
      </c>
      <c r="P8" s="31" t="str">
        <f aca="false">IF(D8&lt;&gt;"",SUBSTITUTE(SUBSTITUTE(SUBSTITUTE(SUBSTITUTE(SUBSTITUTE(SUBSTITUTE(SUBSTITUTE(SUBSTITUTE(SUBSTITUTE(SUBSTITUTE(D8,"亚庇","Kota Kinabalu"),"公寓","Condo"),"排屋","Terrace"),"别墅","Villa"),"店铺","Shop"),"新山","Johor Bahru"),"市中心","City Centre"),"高级","Premium"),"单位","Unit"),"住宅","Residence"),"")</f>
        <v/>
      </c>
      <c r="Q8" s="31" t="str">
        <f aca="false">IF(D8&lt;&gt;"",SUBSTITUTE(SUBSTITUTE(SUBSTITUTE(SUBSTITUTE(SUBSTITUTE(SUBSTITUTE(SUBSTITUTE(SUBSTITUTE(SUBSTITUTE(SUBSTITUTE(D8,"亚庇","Kota Kinabalu"),"公寓","Kondominium"),"排屋","Rumah Teres"),"别墅","Vila"),"店铺","Kedai"),"新山","Johor Bahru"),"市中心","Pusat Bandar"),"高级","Premium"),"单位","Unit"),"住宅","Kediaman"),"")</f>
        <v/>
      </c>
      <c r="R8" s="31" t="str">
        <f aca="false">IF(D8&lt;&gt;"","📍 "&amp;IF(E8&lt;&gt;"",E8&amp;"房","")&amp;IF(F8&lt;&gt;"",F8&amp;"卫 ","")&amp;IF(G8&lt;&gt;"",G8&amp;" sqft","")&amp;IF(AND(OR(E8&lt;&gt;"",G8&lt;&gt;""),H8&lt;&gt;"")," · ","")&amp;IF(H8&lt;&gt;"",H8,""),"")</f>
        <v/>
      </c>
      <c r="S8" s="31" t="str">
        <f aca="false">IF(D8&lt;&gt;"","📍 "&amp;IF(E8&lt;&gt;"",E8&amp;"BR ","")&amp;IF(F8&lt;&gt;"",F8&amp;"BA ","")&amp;IF(G8&lt;&gt;"",G8&amp;" sqft","")&amp;IF(AND(OR(E8&lt;&gt;"",G8&lt;&gt;""),H8&lt;&gt;"")," · ","")&amp;IF(H8&lt;&gt;"",SUBSTITUTE(SUBSTITUTE(SUBSTITUTE(SUBSTITUTE(SUBSTITUTE(SUBSTITUTE(SUBSTITUTE(SUBSTITUTE(SUBSTITUTE(SUBSTITUTE(H8,"游泳池","Swimming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8" s="31" t="str">
        <f aca="false">IF(D8&lt;&gt;"","📍 "&amp;IF(E8&lt;&gt;"",E8&amp;"Bilik ","")&amp;IF(F8&lt;&gt;"",F8&amp;"Bilik Air ","")&amp;IF(G8&lt;&gt;"",G8&amp;" sqft","")&amp;IF(AND(OR(E8&lt;&gt;"",G8&lt;&gt;""),H8&lt;&gt;"")," · ","")&amp;IF(H8&lt;&gt;"",SUBSTITUTE(SUBSTITUTE(SUBSTITUTE(SUBSTITUTE(SUBSTITUTE(SUBSTITUTE(SUBSTITUTE(SUBSTITUTE(SUBSTITUTE(SUBSTITUTE(H8,"游泳池","Kolam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8" s="32" t="str">
        <f aca="false">IF(OR(I8&lt;&gt;"",J8&lt;&gt;"",K8&lt;&gt;""),"🔒 "&amp;IF(I8&lt;&gt;"",I8,"")&amp;IF(AND(I8&lt;&gt;"",J8&lt;&gt;"")," · ","")&amp;IF(J8&lt;&gt;"",J8,"")&amp;IF(AND(OR(I8&lt;&gt;"",J8&lt;&gt;""),K8&lt;&gt;"")," · ","")&amp;IF(K8&lt;&gt;"",K8,""),"")</f>
        <v/>
      </c>
      <c r="V8" s="31" t="str">
        <f aca="false">IF(L8&lt;&gt;"","💰 月租 RM "&amp;TEXT(L8,"#,##0"),"")</f>
        <v/>
      </c>
      <c r="W8" s="31" t="str">
        <f aca="false">IF(L8&lt;&gt;"","💰 Monthly Rent RM "&amp;TEXT(L8,"#,##0"),"")</f>
        <v/>
      </c>
      <c r="X8" s="31" t="str">
        <f aca="false">IF(L8&lt;&gt;"","💰 Sewa Bulanan RM "&amp;TEXT(L8,"#,##0"),"")</f>
        <v/>
      </c>
      <c r="Y8" s="33" t="str">
        <f aca="false">IF(D8&lt;&gt;"","您好！我想咨询出租：
🏠 "&amp;D8&amp;"
"&amp;IF(E8&lt;&gt;"","🛏 "&amp;E8&amp;"房"&amp;IF(F8&lt;&gt;""," "&amp;F8&amp;"卫","")&amp;"
","")&amp;IF(G8&lt;&gt;"","📐 "&amp;G8&amp;" sqft
","")&amp;IF(H8&lt;&gt;"","🏊 "&amp;H8&amp;"
","")&amp;IF(U8&lt;&gt;"",U8&amp;"
","")&amp;IF(L8&lt;&gt;"","💰 月租 RM "&amp;TEXT(L8,"#,##0")&amp;"
","")&amp;"
请问还有空档吗？谢谢！","")</f>
        <v/>
      </c>
      <c r="Z8" s="33" t="str">
        <f aca="false">IF(D8&lt;&gt;"","Hi! I'd like to make a rental enquiry:
🏠 "&amp;P8&amp;"
"&amp;IF(E8&lt;&gt;"","🛏 "&amp;E8&amp;"BR"&amp;IF(F8&lt;&gt;""," "&amp;F8&amp;"BA","")&amp;"
","")&amp;IF(G8&lt;&gt;"","📐 "&amp;G8&amp;" sqft
","")&amp;IF(H8&lt;&gt;"","🏊 "&amp;SUBSTITUTE(SUBSTITUTE(SUBSTITUTE(SUBSTITUTE(SUBSTITUTE(SUBSTITUTE(SUBSTITUTE(SUBSTITUTE(SUBSTITUTE(SUBSTITUTE(H8,"游泳池","Swimming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","")&amp;IF(L8&lt;&gt;"","💰 Monthly Rent RM "&amp;TEXT(L8,"#,##0")&amp;"
","")&amp;"
Is this still available? Thank you!","")</f>
        <v/>
      </c>
      <c r="AA8" s="31"/>
      <c r="AB8" s="33" t="str">
        <f aca="false">IF(D8&lt;&gt;"","Helo! Saya ingin membuat pertanyaan sewa:
🏠 "&amp;Q8&amp;"
"&amp;IF(E8&lt;&gt;"","🛏 "&amp;E8&amp;"Bilik"&amp;IF(F8&lt;&gt;""," "&amp;F8&amp;"Bilik Air","")&amp;"
","")&amp;IF(G8&lt;&gt;"","📐 "&amp;G8&amp;" sqft
","")&amp;IF(H8&lt;&gt;"","🏊 "&amp;SUBSTITUTE(SUBSTITUTE(SUBSTITUTE(SUBSTITUTE(SUBSTITUTE(SUBSTITUTE(SUBSTITUTE(SUBSTITUTE(SUBSTITUTE(SUBSTITUTE(H8,"游泳池","Kolam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","")&amp;IF(L8&lt;&gt;"","💰 Sewa Bulanan RM "&amp;TEXT(L8,"#,##0")&amp;"
","")&amp;"
Adakah masih tersedia? Terima kasih!","")</f>
        <v/>
      </c>
    </row>
    <row r="9" customFormat="false" ht="51.7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8"/>
      <c r="M9" s="30"/>
      <c r="N9" s="31" t="str">
        <f aca="false">IFERROR(ifs(B9="🏢 Condo 公寓","fa-building",B9="🏠 Apartment 单位","fa-home",B9="🌿 即租即住","fa-home",B9="🌿 近国际学校","fa-school",B9="📌 商业旺铺","fa-store",B9="🌟 海景豪宅","fa-water-ladder",B9="📈 投资优选","fa-chart-line",B9="🏞️ 花园住宅","fa-tree",B9="🌟 2026全新地标","fa-drafting-compass",B9="📈 海外投资优选","fa-globe",B9="🌆 核心地段","fa-city",B9="🔥 限时优惠","fa-fire",B9="✅ 永久产权","fa-certificate",B9="🏅 高回报","fa-medal",B9="🏖️ 度假胜地","fa-umbrella-beach",B9="🏫 学区优选","fa-graduation-cap",B9="🛣️ 交通便利","fa-road",B9="🔑 即买即住","fa-key"),"fa-home")</f>
        <v>fa-home</v>
      </c>
      <c r="O9" s="31" t="str">
        <f aca="false">IF(D9&lt;&gt;"",D9,"")</f>
        <v/>
      </c>
      <c r="P9" s="31" t="str">
        <f aca="false">IF(D9&lt;&gt;"",SUBSTITUTE(SUBSTITUTE(SUBSTITUTE(SUBSTITUTE(SUBSTITUTE(SUBSTITUTE(SUBSTITUTE(SUBSTITUTE(SUBSTITUTE(SUBSTITUTE(D9,"亚庇","Kota Kinabalu"),"公寓","Condo"),"排屋","Terrace"),"别墅","Villa"),"店铺","Shop"),"新山","Johor Bahru"),"市中心","City Centre"),"高级","Premium"),"单位","Unit"),"住宅","Residence"),"")</f>
        <v/>
      </c>
      <c r="Q9" s="31" t="str">
        <f aca="false">IF(D9&lt;&gt;"",SUBSTITUTE(SUBSTITUTE(SUBSTITUTE(SUBSTITUTE(SUBSTITUTE(SUBSTITUTE(SUBSTITUTE(SUBSTITUTE(SUBSTITUTE(SUBSTITUTE(D9,"亚庇","Kota Kinabalu"),"公寓","Kondominium"),"排屋","Rumah Teres"),"别墅","Vila"),"店铺","Kedai"),"新山","Johor Bahru"),"市中心","Pusat Bandar"),"高级","Premium"),"单位","Unit"),"住宅","Kediaman"),"")</f>
        <v/>
      </c>
      <c r="R9" s="31" t="str">
        <f aca="false">IF(D9&lt;&gt;"","📍 "&amp;IF(E9&lt;&gt;"",E9&amp;"房","")&amp;IF(F9&lt;&gt;"",F9&amp;"卫 ","")&amp;IF(G9&lt;&gt;"",G9&amp;" sqft","")&amp;IF(AND(OR(E9&lt;&gt;"",G9&lt;&gt;""),H9&lt;&gt;"")," · ","")&amp;IF(H9&lt;&gt;"",H9,""),"")</f>
        <v/>
      </c>
      <c r="S9" s="31" t="str">
        <f aca="false">IF(D9&lt;&gt;"","📍 "&amp;IF(E9&lt;&gt;"",E9&amp;"BR ","")&amp;IF(F9&lt;&gt;"",F9&amp;"BA ","")&amp;IF(G9&lt;&gt;"",G9&amp;" sqft","")&amp;IF(AND(OR(E9&lt;&gt;"",G9&lt;&gt;""),H9&lt;&gt;"")," · ","")&amp;IF(H9&lt;&gt;"",SUBSTITUTE(SUBSTITUTE(SUBSTITUTE(SUBSTITUTE(SUBSTITUTE(SUBSTITUTE(SUBSTITUTE(SUBSTITUTE(SUBSTITUTE(SUBSTITUTE(H9,"游泳池","Swimming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9" s="31" t="str">
        <f aca="false">IF(D9&lt;&gt;"","📍 "&amp;IF(E9&lt;&gt;"",E9&amp;"Bilik ","")&amp;IF(F9&lt;&gt;"",F9&amp;"Bilik Air ","")&amp;IF(G9&lt;&gt;"",G9&amp;" sqft","")&amp;IF(AND(OR(E9&lt;&gt;"",G9&lt;&gt;""),H9&lt;&gt;"")," · ","")&amp;IF(H9&lt;&gt;"",SUBSTITUTE(SUBSTITUTE(SUBSTITUTE(SUBSTITUTE(SUBSTITUTE(SUBSTITUTE(SUBSTITUTE(SUBSTITUTE(SUBSTITUTE(SUBSTITUTE(H9,"游泳池","Kolam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9" s="32" t="str">
        <f aca="false">IF(OR(I9&lt;&gt;"",J9&lt;&gt;"",K9&lt;&gt;""),"🔒 "&amp;IF(I9&lt;&gt;"",I9,"")&amp;IF(AND(I9&lt;&gt;"",J9&lt;&gt;"")," · ","")&amp;IF(J9&lt;&gt;"",J9,"")&amp;IF(AND(OR(I9&lt;&gt;"",J9&lt;&gt;""),K9&lt;&gt;"")," · ","")&amp;IF(K9&lt;&gt;"",K9,""),"")</f>
        <v/>
      </c>
      <c r="V9" s="31" t="str">
        <f aca="false">IF(L9&lt;&gt;"","💰 月租 RM "&amp;TEXT(L9,"#,##0"),"")</f>
        <v/>
      </c>
      <c r="W9" s="31" t="str">
        <f aca="false">IF(L9&lt;&gt;"","💰 Monthly Rent RM "&amp;TEXT(L9,"#,##0"),"")</f>
        <v/>
      </c>
      <c r="X9" s="31" t="str">
        <f aca="false">IF(L9&lt;&gt;"","💰 Sewa Bulanan RM "&amp;TEXT(L9,"#,##0"),"")</f>
        <v/>
      </c>
      <c r="Y9" s="33" t="str">
        <f aca="false">IF(D9&lt;&gt;"","您好！我想咨询出租：
🏠 "&amp;D9&amp;"
"&amp;IF(E9&lt;&gt;"","🛏 "&amp;E9&amp;"房"&amp;IF(F9&lt;&gt;""," "&amp;F9&amp;"卫","")&amp;"
","")&amp;IF(G9&lt;&gt;"","📐 "&amp;G9&amp;" sqft
","")&amp;IF(H9&lt;&gt;"","🏊 "&amp;H9&amp;"
","")&amp;IF(U9&lt;&gt;"",U9&amp;"
","")&amp;IF(L9&lt;&gt;"","💰 月租 RM "&amp;TEXT(L9,"#,##0")&amp;"
","")&amp;"
请问还有空档吗？谢谢！","")</f>
        <v/>
      </c>
      <c r="Z9" s="33" t="str">
        <f aca="false">IF(D9&lt;&gt;"","Hi! I'd like to make a rental enquiry:
🏠 "&amp;P9&amp;"
"&amp;IF(E9&lt;&gt;"","🛏 "&amp;E9&amp;"BR"&amp;IF(F9&lt;&gt;""," "&amp;F9&amp;"BA","")&amp;"
","")&amp;IF(G9&lt;&gt;"","📐 "&amp;G9&amp;" sqft
","")&amp;IF(H9&lt;&gt;"","🏊 "&amp;SUBSTITUTE(SUBSTITUTE(SUBSTITUTE(SUBSTITUTE(SUBSTITUTE(SUBSTITUTE(SUBSTITUTE(SUBSTITUTE(SUBSTITUTE(SUBSTITUTE(H9,"游泳池","Swimming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","")&amp;IF(L9&lt;&gt;"","💰 Monthly Rent RM "&amp;TEXT(L9,"#,##0")&amp;"
","")&amp;"
Is this still available? Thank you!","")</f>
        <v/>
      </c>
      <c r="AA9" s="31"/>
      <c r="AB9" s="33" t="str">
        <f aca="false">IF(D9&lt;&gt;"","Helo! Saya ingin membuat pertanyaan sewa:
🏠 "&amp;Q9&amp;"
"&amp;IF(E9&lt;&gt;"","🛏 "&amp;E9&amp;"Bilik"&amp;IF(F9&lt;&gt;""," "&amp;F9&amp;"Bilik Air","")&amp;"
","")&amp;IF(G9&lt;&gt;"","📐 "&amp;G9&amp;" sqft
","")&amp;IF(H9&lt;&gt;"","🏊 "&amp;SUBSTITUTE(SUBSTITUTE(SUBSTITUTE(SUBSTITUTE(SUBSTITUTE(SUBSTITUTE(SUBSTITUTE(SUBSTITUTE(SUBSTITUTE(SUBSTITUTE(H9,"游泳池","Kolam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","")&amp;IF(L9&lt;&gt;"","💰 Sewa Bulanan RM "&amp;TEXT(L9,"#,##0")&amp;"
","")&amp;"
Adakah masih tersedia? Terima kasih!","")</f>
        <v/>
      </c>
    </row>
    <row r="10" customFormat="false" ht="5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29"/>
      <c r="L10" s="28"/>
      <c r="M10" s="30"/>
      <c r="N10" s="31" t="str">
        <f aca="false">IFERROR(ifs(B10="🏢 Condo 公寓","fa-building",B10="🏠 Apartment 单位","fa-home",B10="🌿 即租即住","fa-home",B10="🌿 近国际学校","fa-school",B10="📌 商业旺铺","fa-store",B10="🌟 海景豪宅","fa-water-ladder",B10="📈 投资优选","fa-chart-line",B10="🏞️ 花园住宅","fa-tree",B10="🌟 2026全新地标","fa-drafting-compass",B10="📈 海外投资优选","fa-globe",B10="🌆 核心地段","fa-city",B10="🔥 限时优惠","fa-fire",B10="✅ 永久产权","fa-certificate",B10="🏅 高回报","fa-medal",B10="🏖️ 度假胜地","fa-umbrella-beach",B10="🏫 学区优选","fa-graduation-cap",B10="🛣️ 交通便利","fa-road",B10="🔑 即买即住","fa-key"),"fa-home")</f>
        <v>fa-home</v>
      </c>
      <c r="O10" s="31" t="str">
        <f aca="false">IF(D10&lt;&gt;"",D10,"")</f>
        <v/>
      </c>
      <c r="P10" s="31" t="str">
        <f aca="false">IF(D10&lt;&gt;"",SUBSTITUTE(SUBSTITUTE(SUBSTITUTE(SUBSTITUTE(SUBSTITUTE(SUBSTITUTE(SUBSTITUTE(SUBSTITUTE(SUBSTITUTE(SUBSTITUTE(D10,"亚庇","Kota Kinabalu"),"公寓","Condo"),"排屋","Terrace"),"别墅","Villa"),"店铺","Shop"),"新山","Johor Bahru"),"市中心","City Centre"),"高级","Premium"),"单位","Unit"),"住宅","Residence"),"")</f>
        <v/>
      </c>
      <c r="Q10" s="31" t="str">
        <f aca="false">IF(D10&lt;&gt;"",SUBSTITUTE(SUBSTITUTE(SUBSTITUTE(SUBSTITUTE(SUBSTITUTE(SUBSTITUTE(SUBSTITUTE(SUBSTITUTE(SUBSTITUTE(SUBSTITUTE(D10,"亚庇","Kota Kinabalu"),"公寓","Kondominium"),"排屋","Rumah Teres"),"别墅","Vila"),"店铺","Kedai"),"新山","Johor Bahru"),"市中心","Pusat Bandar"),"高级","Premium"),"单位","Unit"),"住宅","Kediaman"),"")</f>
        <v/>
      </c>
      <c r="R10" s="31" t="str">
        <f aca="false">IF(D10&lt;&gt;"","📍 "&amp;IF(E10&lt;&gt;"",E10&amp;"房","")&amp;IF(F10&lt;&gt;"",F10&amp;"卫 ","")&amp;IF(G10&lt;&gt;"",G10&amp;" sqft","")&amp;IF(AND(OR(E10&lt;&gt;"",G10&lt;&gt;""),H10&lt;&gt;"")," · ","")&amp;IF(H10&lt;&gt;"",H10,""),"")</f>
        <v/>
      </c>
      <c r="S10" s="31" t="str">
        <f aca="false">IF(D10&lt;&gt;"","📍 "&amp;IF(E10&lt;&gt;"",E10&amp;"BR ","")&amp;IF(F10&lt;&gt;"",F10&amp;"BA ","")&amp;IF(G10&lt;&gt;"",G10&amp;" sqft","")&amp;IF(AND(OR(E10&lt;&gt;"",G10&lt;&gt;""),H10&lt;&gt;"")," · ","")&amp;IF(H10&lt;&gt;"",SUBSTITUTE(SUBSTITUTE(SUBSTITUTE(SUBSTITUTE(SUBSTITUTE(SUBSTITUTE(SUBSTITUTE(SUBSTITUTE(SUBSTITUTE(SUBSTITUTE(H10,"游泳池","Swimming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0" s="31" t="str">
        <f aca="false">IF(D10&lt;&gt;"","📍 "&amp;IF(E10&lt;&gt;"",E10&amp;"Bilik ","")&amp;IF(F10&lt;&gt;"",F10&amp;"Bilik Air ","")&amp;IF(G10&lt;&gt;"",G10&amp;" sqft","")&amp;IF(AND(OR(E10&lt;&gt;"",G10&lt;&gt;""),H10&lt;&gt;"")," · ","")&amp;IF(H10&lt;&gt;"",SUBSTITUTE(SUBSTITUTE(SUBSTITUTE(SUBSTITUTE(SUBSTITUTE(SUBSTITUTE(SUBSTITUTE(SUBSTITUTE(SUBSTITUTE(SUBSTITUTE(H10,"游泳池","Kolam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0" s="32" t="str">
        <f aca="false">IF(OR(I10&lt;&gt;"",J10&lt;&gt;"",K10&lt;&gt;""),"🔒 "&amp;IF(I10&lt;&gt;"",I10,"")&amp;IF(AND(I10&lt;&gt;"",J10&lt;&gt;"")," · ","")&amp;IF(J10&lt;&gt;"",J10,"")&amp;IF(AND(OR(I10&lt;&gt;"",J10&lt;&gt;""),K10&lt;&gt;"")," · ","")&amp;IF(K10&lt;&gt;"",K10,""),"")</f>
        <v/>
      </c>
      <c r="V10" s="31" t="str">
        <f aca="false">IF(L10&lt;&gt;"","💰 月租 RM "&amp;TEXT(L10,"#,##0"),"")</f>
        <v/>
      </c>
      <c r="W10" s="31" t="str">
        <f aca="false">IF(L10&lt;&gt;"","💰 Monthly Rent RM "&amp;TEXT(L10,"#,##0"),"")</f>
        <v/>
      </c>
      <c r="X10" s="31" t="str">
        <f aca="false">IF(L10&lt;&gt;"","💰 Sewa Bulanan RM "&amp;TEXT(L10,"#,##0"),"")</f>
        <v/>
      </c>
      <c r="Y10" s="33" t="str">
        <f aca="false">IF(D10&lt;&gt;"","您好！我想咨询出租：
🏠 "&amp;D10&amp;"
"&amp;IF(E10&lt;&gt;"","🛏 "&amp;E10&amp;"房"&amp;IF(F10&lt;&gt;""," "&amp;F10&amp;"卫","")&amp;"
","")&amp;IF(G10&lt;&gt;"","📐 "&amp;G10&amp;" sqft
","")&amp;IF(H10&lt;&gt;"","🏊 "&amp;H10&amp;"
","")&amp;IF(U10&lt;&gt;"",U10&amp;"
","")&amp;IF(L10&lt;&gt;"","💰 月租 RM "&amp;TEXT(L10,"#,##0")&amp;"
","")&amp;"
请问还有空档吗？谢谢！","")</f>
        <v/>
      </c>
      <c r="Z10" s="33" t="str">
        <f aca="false">IF(D10&lt;&gt;"","Hi! I'd like to make a rental enquiry:
🏠 "&amp;P10&amp;"
"&amp;IF(E10&lt;&gt;"","🛏 "&amp;E10&amp;"BR"&amp;IF(F10&lt;&gt;""," "&amp;F10&amp;"BA","")&amp;"
","")&amp;IF(G10&lt;&gt;"","📐 "&amp;G10&amp;" sqft
","")&amp;IF(H10&lt;&gt;"","🏊 "&amp;SUBSTITUTE(SUBSTITUTE(SUBSTITUTE(SUBSTITUTE(SUBSTITUTE(SUBSTITUTE(SUBSTITUTE(SUBSTITUTE(SUBSTITUTE(SUBSTITUTE(H10,"游泳池","Swimming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","")&amp;IF(L10&lt;&gt;"","💰 Monthly Rent RM "&amp;TEXT(L10,"#,##0")&amp;"
","")&amp;"
Is this still available? Thank you!","")</f>
        <v/>
      </c>
      <c r="AA10" s="31"/>
      <c r="AB10" s="33" t="str">
        <f aca="false">IF(D10&lt;&gt;"","Helo! Saya ingin membuat pertanyaan sewa:
🏠 "&amp;Q10&amp;"
"&amp;IF(E10&lt;&gt;"","🛏 "&amp;E10&amp;"Bilik"&amp;IF(F10&lt;&gt;""," "&amp;F10&amp;"Bilik Air","")&amp;"
","")&amp;IF(G10&lt;&gt;"","📐 "&amp;G10&amp;" sqft
","")&amp;IF(H10&lt;&gt;"","🏊 "&amp;SUBSTITUTE(SUBSTITUTE(SUBSTITUTE(SUBSTITUTE(SUBSTITUTE(SUBSTITUTE(SUBSTITUTE(SUBSTITUTE(SUBSTITUTE(SUBSTITUTE(H10,"游泳池","Kolam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","")&amp;IF(L10&lt;&gt;"","💰 Sewa Bulanan RM "&amp;TEXT(L10,"#,##0")&amp;"
","")&amp;"
Adakah masih tersedia? Terima kasih!","")</f>
        <v/>
      </c>
    </row>
    <row r="11" customFormat="false" ht="51.7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29"/>
      <c r="L11" s="28"/>
      <c r="M11" s="30"/>
      <c r="N11" s="31" t="str">
        <f aca="false">IFERROR(ifs(B11="🏢 Condo 公寓","fa-building",B11="🏠 Apartment 单位","fa-home",B11="🌿 即租即住","fa-home",B11="🌿 近国际学校","fa-school",B11="📌 商业旺铺","fa-store",B11="🌟 海景豪宅","fa-water-ladder",B11="📈 投资优选","fa-chart-line",B11="🏞️ 花园住宅","fa-tree",B11="🌟 2026全新地标","fa-drafting-compass",B11="📈 海外投资优选","fa-globe",B11="🌆 核心地段","fa-city",B11="🔥 限时优惠","fa-fire",B11="✅ 永久产权","fa-certificate",B11="🏅 高回报","fa-medal",B11="🏖️ 度假胜地","fa-umbrella-beach",B11="🏫 学区优选","fa-graduation-cap",B11="🛣️ 交通便利","fa-road",B11="🔑 即买即住","fa-key"),"fa-home")</f>
        <v>fa-home</v>
      </c>
      <c r="O11" s="31" t="str">
        <f aca="false">IF(D11&lt;&gt;"",D11,"")</f>
        <v/>
      </c>
      <c r="P11" s="31" t="str">
        <f aca="false">IF(D11&lt;&gt;"",SUBSTITUTE(SUBSTITUTE(SUBSTITUTE(SUBSTITUTE(SUBSTITUTE(SUBSTITUTE(SUBSTITUTE(SUBSTITUTE(SUBSTITUTE(SUBSTITUTE(D11,"亚庇","Kota Kinabalu"),"公寓","Condo"),"排屋","Terrace"),"别墅","Villa"),"店铺","Shop"),"新山","Johor Bahru"),"市中心","City Centre"),"高级","Premium"),"单位","Unit"),"住宅","Residence"),"")</f>
        <v/>
      </c>
      <c r="Q11" s="31" t="str">
        <f aca="false">IF(D11&lt;&gt;"",SUBSTITUTE(SUBSTITUTE(SUBSTITUTE(SUBSTITUTE(SUBSTITUTE(SUBSTITUTE(SUBSTITUTE(SUBSTITUTE(SUBSTITUTE(SUBSTITUTE(D11,"亚庇","Kota Kinabalu"),"公寓","Kondominium"),"排屋","Rumah Teres"),"别墅","Vila"),"店铺","Kedai"),"新山","Johor Bahru"),"市中心","Pusat Bandar"),"高级","Premium"),"单位","Unit"),"住宅","Kediaman"),"")</f>
        <v/>
      </c>
      <c r="R11" s="31" t="str">
        <f aca="false">IF(D11&lt;&gt;"","📍 "&amp;IF(E11&lt;&gt;"",E11&amp;"房","")&amp;IF(F11&lt;&gt;"",F11&amp;"卫 ","")&amp;IF(G11&lt;&gt;"",G11&amp;" sqft","")&amp;IF(AND(OR(E11&lt;&gt;"",G11&lt;&gt;""),H11&lt;&gt;"")," · ","")&amp;IF(H11&lt;&gt;"",H11,""),"")</f>
        <v/>
      </c>
      <c r="S11" s="31" t="str">
        <f aca="false">IF(D11&lt;&gt;"","📍 "&amp;IF(E11&lt;&gt;"",E11&amp;"BR ","")&amp;IF(F11&lt;&gt;"",F11&amp;"BA ","")&amp;IF(G11&lt;&gt;"",G11&amp;" sqft","")&amp;IF(AND(OR(E11&lt;&gt;"",G11&lt;&gt;""),H11&lt;&gt;"")," · ","")&amp;IF(H11&lt;&gt;"",SUBSTITUTE(SUBSTITUTE(SUBSTITUTE(SUBSTITUTE(SUBSTITUTE(SUBSTITUTE(SUBSTITUTE(SUBSTITUTE(SUBSTITUTE(SUBSTITUTE(H11,"游泳池","Swimming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1" s="31" t="str">
        <f aca="false">IF(D11&lt;&gt;"","📍 "&amp;IF(E11&lt;&gt;"",E11&amp;"Bilik ","")&amp;IF(F11&lt;&gt;"",F11&amp;"Bilik Air ","")&amp;IF(G11&lt;&gt;"",G11&amp;" sqft","")&amp;IF(AND(OR(E11&lt;&gt;"",G11&lt;&gt;""),H11&lt;&gt;"")," · ","")&amp;IF(H11&lt;&gt;"",SUBSTITUTE(SUBSTITUTE(SUBSTITUTE(SUBSTITUTE(SUBSTITUTE(SUBSTITUTE(SUBSTITUTE(SUBSTITUTE(SUBSTITUTE(SUBSTITUTE(H11,"游泳池","Kolam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1" s="32" t="str">
        <f aca="false">IF(OR(I11&lt;&gt;"",J11&lt;&gt;"",K11&lt;&gt;""),"🔒 "&amp;IF(I11&lt;&gt;"",I11,"")&amp;IF(AND(I11&lt;&gt;"",J11&lt;&gt;"")," · ","")&amp;IF(J11&lt;&gt;"",J11,"")&amp;IF(AND(OR(I11&lt;&gt;"",J11&lt;&gt;""),K11&lt;&gt;"")," · ","")&amp;IF(K11&lt;&gt;"",K11,""),"")</f>
        <v/>
      </c>
      <c r="V11" s="31" t="str">
        <f aca="false">IF(L11&lt;&gt;"","💰 月租 RM "&amp;TEXT(L11,"#,##0"),"")</f>
        <v/>
      </c>
      <c r="W11" s="31" t="str">
        <f aca="false">IF(L11&lt;&gt;"","💰 Monthly Rent RM "&amp;TEXT(L11,"#,##0"),"")</f>
        <v/>
      </c>
      <c r="X11" s="31" t="str">
        <f aca="false">IF(L11&lt;&gt;"","💰 Sewa Bulanan RM "&amp;TEXT(L11,"#,##0"),"")</f>
        <v/>
      </c>
      <c r="Y11" s="33" t="str">
        <f aca="false">IF(D11&lt;&gt;"","您好！我想咨询出租：
🏠 "&amp;D11&amp;"
"&amp;IF(E11&lt;&gt;"","🛏 "&amp;E11&amp;"房"&amp;IF(F11&lt;&gt;""," "&amp;F11&amp;"卫","")&amp;"
","")&amp;IF(G11&lt;&gt;"","📐 "&amp;G11&amp;" sqft
","")&amp;IF(H11&lt;&gt;"","🏊 "&amp;H11&amp;"
","")&amp;IF(U11&lt;&gt;"",U11&amp;"
","")&amp;IF(L11&lt;&gt;"","💰 月租 RM "&amp;TEXT(L11,"#,##0")&amp;"
","")&amp;"
请问还有空档吗？谢谢！","")</f>
        <v/>
      </c>
      <c r="Z11" s="33" t="str">
        <f aca="false">IF(D11&lt;&gt;"","Hi! I'd like to make a rental enquiry:
🏠 "&amp;P11&amp;"
"&amp;IF(E11&lt;&gt;"","🛏 "&amp;E11&amp;"BR"&amp;IF(F11&lt;&gt;""," "&amp;F11&amp;"BA","")&amp;"
","")&amp;IF(G11&lt;&gt;"","📐 "&amp;G11&amp;" sqft
","")&amp;IF(H11&lt;&gt;"","🏊 "&amp;SUBSTITUTE(SUBSTITUTE(SUBSTITUTE(SUBSTITUTE(SUBSTITUTE(SUBSTITUTE(SUBSTITUTE(SUBSTITUTE(SUBSTITUTE(SUBSTITUTE(H11,"游泳池","Swimming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","")&amp;IF(L11&lt;&gt;"","💰 Monthly Rent RM "&amp;TEXT(L11,"#,##0")&amp;"
","")&amp;"
Is this still available? Thank you!","")</f>
        <v/>
      </c>
      <c r="AA11" s="31"/>
      <c r="AB11" s="33" t="str">
        <f aca="false">IF(D11&lt;&gt;"","Helo! Saya ingin membuat pertanyaan sewa:
🏠 "&amp;Q11&amp;"
"&amp;IF(E11&lt;&gt;"","🛏 "&amp;E11&amp;"Bilik"&amp;IF(F11&lt;&gt;""," "&amp;F11&amp;"Bilik Air","")&amp;"
","")&amp;IF(G11&lt;&gt;"","📐 "&amp;G11&amp;" sqft
","")&amp;IF(H11&lt;&gt;"","🏊 "&amp;SUBSTITUTE(SUBSTITUTE(SUBSTITUTE(SUBSTITUTE(SUBSTITUTE(SUBSTITUTE(SUBSTITUTE(SUBSTITUTE(SUBSTITUTE(SUBSTITUTE(H11,"游泳池","Kolam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","")&amp;IF(L11&lt;&gt;"","💰 Sewa Bulanan RM "&amp;TEXT(L11,"#,##0")&amp;"
","")&amp;"
Adakah masih tersedia? Terima kasih!","")</f>
        <v/>
      </c>
    </row>
    <row r="12" customFormat="false" ht="5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29"/>
      <c r="L12" s="28"/>
      <c r="M12" s="30"/>
      <c r="N12" s="31" t="str">
        <f aca="false">IFERROR(ifs(B12="🏢 Condo 公寓","fa-building",B12="🏠 Apartment 单位","fa-home",B12="🌿 即租即住","fa-home",B12="🌿 近国际学校","fa-school",B12="📌 商业旺铺","fa-store",B12="🌟 海景豪宅","fa-water-ladder",B12="📈 投资优选","fa-chart-line",B12="🏞️ 花园住宅","fa-tree",B12="🌟 2026全新地标","fa-drafting-compass",B12="📈 海外投资优选","fa-globe",B12="🌆 核心地段","fa-city",B12="🔥 限时优惠","fa-fire",B12="✅ 永久产权","fa-certificate",B12="🏅 高回报","fa-medal",B12="🏖️ 度假胜地","fa-umbrella-beach",B12="🏫 学区优选","fa-graduation-cap",B12="🛣️ 交通便利","fa-road",B12="🔑 即买即住","fa-key"),"fa-home")</f>
        <v>fa-home</v>
      </c>
      <c r="O12" s="31" t="str">
        <f aca="false">IF(D12&lt;&gt;"",D12,"")</f>
        <v/>
      </c>
      <c r="P12" s="31" t="str">
        <f aca="false">IF(D12&lt;&gt;"",SUBSTITUTE(SUBSTITUTE(SUBSTITUTE(SUBSTITUTE(SUBSTITUTE(SUBSTITUTE(SUBSTITUTE(SUBSTITUTE(SUBSTITUTE(SUBSTITUTE(D12,"亚庇","Kota Kinabalu"),"公寓","Condo"),"排屋","Terrace"),"别墅","Villa"),"店铺","Shop"),"新山","Johor Bahru"),"市中心","City Centre"),"高级","Premium"),"单位","Unit"),"住宅","Residence"),"")</f>
        <v/>
      </c>
      <c r="Q12" s="31" t="str">
        <f aca="false">IF(D12&lt;&gt;"",SUBSTITUTE(SUBSTITUTE(SUBSTITUTE(SUBSTITUTE(SUBSTITUTE(SUBSTITUTE(SUBSTITUTE(SUBSTITUTE(SUBSTITUTE(SUBSTITUTE(D12,"亚庇","Kota Kinabalu"),"公寓","Kondominium"),"排屋","Rumah Teres"),"别墅","Vila"),"店铺","Kedai"),"新山","Johor Bahru"),"市中心","Pusat Bandar"),"高级","Premium"),"单位","Unit"),"住宅","Kediaman"),"")</f>
        <v/>
      </c>
      <c r="R12" s="31" t="str">
        <f aca="false">IF(D12&lt;&gt;"","📍 "&amp;IF(E12&lt;&gt;"",E12&amp;"房","")&amp;IF(F12&lt;&gt;"",F12&amp;"卫 ","")&amp;IF(G12&lt;&gt;"",G12&amp;" sqft","")&amp;IF(AND(OR(E12&lt;&gt;"",G12&lt;&gt;""),H12&lt;&gt;"")," · ","")&amp;IF(H12&lt;&gt;"",H12,""),"")</f>
        <v/>
      </c>
      <c r="S12" s="31" t="str">
        <f aca="false">IF(D12&lt;&gt;"","📍 "&amp;IF(E12&lt;&gt;"",E12&amp;"BR ","")&amp;IF(F12&lt;&gt;"",F12&amp;"BA ","")&amp;IF(G12&lt;&gt;"",G12&amp;" sqft","")&amp;IF(AND(OR(E12&lt;&gt;"",G12&lt;&gt;""),H12&lt;&gt;"")," · ","")&amp;IF(H12&lt;&gt;"",SUBSTITUTE(SUBSTITUTE(SUBSTITUTE(SUBSTITUTE(SUBSTITUTE(SUBSTITUTE(SUBSTITUTE(SUBSTITUTE(SUBSTITUTE(SUBSTITUTE(H12,"游泳池","Swimming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2" s="31" t="str">
        <f aca="false">IF(D12&lt;&gt;"","📍 "&amp;IF(E12&lt;&gt;"",E12&amp;"Bilik ","")&amp;IF(F12&lt;&gt;"",F12&amp;"Bilik Air ","")&amp;IF(G12&lt;&gt;"",G12&amp;" sqft","")&amp;IF(AND(OR(E12&lt;&gt;"",G12&lt;&gt;""),H12&lt;&gt;"")," · ","")&amp;IF(H12&lt;&gt;"",SUBSTITUTE(SUBSTITUTE(SUBSTITUTE(SUBSTITUTE(SUBSTITUTE(SUBSTITUTE(SUBSTITUTE(SUBSTITUTE(SUBSTITUTE(SUBSTITUTE(H12,"游泳池","Kolam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2" s="32" t="str">
        <f aca="false">IF(OR(I12&lt;&gt;"",J12&lt;&gt;"",K12&lt;&gt;""),"🔒 "&amp;IF(I12&lt;&gt;"",I12,"")&amp;IF(AND(I12&lt;&gt;"",J12&lt;&gt;"")," · ","")&amp;IF(J12&lt;&gt;"",J12,"")&amp;IF(AND(OR(I12&lt;&gt;"",J12&lt;&gt;""),K12&lt;&gt;"")," · ","")&amp;IF(K12&lt;&gt;"",K12,""),"")</f>
        <v/>
      </c>
      <c r="V12" s="31" t="str">
        <f aca="false">IF(L12&lt;&gt;"","💰 月租 RM "&amp;TEXT(L12,"#,##0"),"")</f>
        <v/>
      </c>
      <c r="W12" s="31" t="str">
        <f aca="false">IF(L12&lt;&gt;"","💰 Monthly Rent RM "&amp;TEXT(L12,"#,##0"),"")</f>
        <v/>
      </c>
      <c r="X12" s="31" t="str">
        <f aca="false">IF(L12&lt;&gt;"","💰 Sewa Bulanan RM "&amp;TEXT(L12,"#,##0"),"")</f>
        <v/>
      </c>
      <c r="Y12" s="33" t="str">
        <f aca="false">IF(D12&lt;&gt;"","您好！我想咨询出租：
🏠 "&amp;D12&amp;"
"&amp;IF(E12&lt;&gt;"","🛏 "&amp;E12&amp;"房"&amp;IF(F12&lt;&gt;""," "&amp;F12&amp;"卫","")&amp;"
","")&amp;IF(G12&lt;&gt;"","📐 "&amp;G12&amp;" sqft
","")&amp;IF(H12&lt;&gt;"","🏊 "&amp;H12&amp;"
","")&amp;IF(U12&lt;&gt;"",U12&amp;"
","")&amp;IF(L12&lt;&gt;"","💰 月租 RM "&amp;TEXT(L12,"#,##0")&amp;"
","")&amp;"
请问还有空档吗？谢谢！","")</f>
        <v/>
      </c>
      <c r="Z12" s="33" t="str">
        <f aca="false">IF(D12&lt;&gt;"","Hi! I'd like to make a rental enquiry:
🏠 "&amp;P12&amp;"
"&amp;IF(E12&lt;&gt;"","🛏 "&amp;E12&amp;"BR"&amp;IF(F12&lt;&gt;""," "&amp;F12&amp;"BA","")&amp;"
","")&amp;IF(G12&lt;&gt;"","📐 "&amp;G12&amp;" sqft
","")&amp;IF(H12&lt;&gt;"","🏊 "&amp;SUBSTITUTE(SUBSTITUTE(SUBSTITUTE(SUBSTITUTE(SUBSTITUTE(SUBSTITUTE(SUBSTITUTE(SUBSTITUTE(SUBSTITUTE(SUBSTITUTE(H12,"游泳池","Swimming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","")&amp;IF(L12&lt;&gt;"","💰 Monthly Rent RM "&amp;TEXT(L12,"#,##0")&amp;"
","")&amp;"
Is this still available? Thank you!","")</f>
        <v/>
      </c>
      <c r="AA12" s="31"/>
      <c r="AB12" s="33" t="str">
        <f aca="false">IF(D12&lt;&gt;"","Helo! Saya ingin membuat pertanyaan sewa:
🏠 "&amp;Q12&amp;"
"&amp;IF(E12&lt;&gt;"","🛏 "&amp;E12&amp;"Bilik"&amp;IF(F12&lt;&gt;""," "&amp;F12&amp;"Bilik Air","")&amp;"
","")&amp;IF(G12&lt;&gt;"","📐 "&amp;G12&amp;" sqft
","")&amp;IF(H12&lt;&gt;"","🏊 "&amp;SUBSTITUTE(SUBSTITUTE(SUBSTITUTE(SUBSTITUTE(SUBSTITUTE(SUBSTITUTE(SUBSTITUTE(SUBSTITUTE(SUBSTITUTE(SUBSTITUTE(H12,"游泳池","Kolam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","")&amp;IF(L12&lt;&gt;"","💰 Sewa Bulanan RM "&amp;TEXT(L12,"#,##0")&amp;"
","")&amp;"
Adakah masih tersedia? Terima kasih!","")</f>
        <v/>
      </c>
    </row>
    <row r="13" customFormat="false" ht="51.7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29"/>
      <c r="J13" s="29"/>
      <c r="K13" s="29"/>
      <c r="L13" s="28"/>
      <c r="M13" s="30"/>
      <c r="N13" s="31" t="str">
        <f aca="false">IFERROR(ifs(B13="🏢 Condo 公寓","fa-building",B13="🏠 Apartment 单位","fa-home",B13="🌿 即租即住","fa-home",B13="🌿 近国际学校","fa-school",B13="📌 商业旺铺","fa-store",B13="🌟 海景豪宅","fa-water-ladder",B13="📈 投资优选","fa-chart-line",B13="🏞️ 花园住宅","fa-tree",B13="🌟 2026全新地标","fa-drafting-compass",B13="📈 海外投资优选","fa-globe",B13="🌆 核心地段","fa-city",B13="🔥 限时优惠","fa-fire",B13="✅ 永久产权","fa-certificate",B13="🏅 高回报","fa-medal",B13="🏖️ 度假胜地","fa-umbrella-beach",B13="🏫 学区优选","fa-graduation-cap",B13="🛣️ 交通便利","fa-road",B13="🔑 即买即住","fa-key"),"fa-home")</f>
        <v>fa-home</v>
      </c>
      <c r="O13" s="31" t="str">
        <f aca="false">IF(D13&lt;&gt;"",D13,"")</f>
        <v/>
      </c>
      <c r="P13" s="31" t="str">
        <f aca="false">IF(D13&lt;&gt;"",SUBSTITUTE(SUBSTITUTE(SUBSTITUTE(SUBSTITUTE(SUBSTITUTE(SUBSTITUTE(SUBSTITUTE(SUBSTITUTE(SUBSTITUTE(SUBSTITUTE(D13,"亚庇","Kota Kinabalu"),"公寓","Condo"),"排屋","Terrace"),"别墅","Villa"),"店铺","Shop"),"新山","Johor Bahru"),"市中心","City Centre"),"高级","Premium"),"单位","Unit"),"住宅","Residence"),"")</f>
        <v/>
      </c>
      <c r="Q13" s="31" t="str">
        <f aca="false">IF(D13&lt;&gt;"",SUBSTITUTE(SUBSTITUTE(SUBSTITUTE(SUBSTITUTE(SUBSTITUTE(SUBSTITUTE(SUBSTITUTE(SUBSTITUTE(SUBSTITUTE(SUBSTITUTE(D13,"亚庇","Kota Kinabalu"),"公寓","Kondominium"),"排屋","Rumah Teres"),"别墅","Vila"),"店铺","Kedai"),"新山","Johor Bahru"),"市中心","Pusat Bandar"),"高级","Premium"),"单位","Unit"),"住宅","Kediaman"),"")</f>
        <v/>
      </c>
      <c r="R13" s="31" t="str">
        <f aca="false">IF(D13&lt;&gt;"","📍 "&amp;IF(E13&lt;&gt;"",E13&amp;"房","")&amp;IF(F13&lt;&gt;"",F13&amp;"卫 ","")&amp;IF(G13&lt;&gt;"",G13&amp;" sqft","")&amp;IF(AND(OR(E13&lt;&gt;"",G13&lt;&gt;""),H13&lt;&gt;"")," · ","")&amp;IF(H13&lt;&gt;"",H13,""),"")</f>
        <v/>
      </c>
      <c r="S13" s="31" t="str">
        <f aca="false">IF(D13&lt;&gt;"","📍 "&amp;IF(E13&lt;&gt;"",E13&amp;"BR ","")&amp;IF(F13&lt;&gt;"",F13&amp;"BA ","")&amp;IF(G13&lt;&gt;"",G13&amp;" sqft","")&amp;IF(AND(OR(E13&lt;&gt;"",G13&lt;&gt;""),H13&lt;&gt;"")," · ","")&amp;IF(H13&lt;&gt;"",SUBSTITUTE(SUBSTITUTE(SUBSTITUTE(SUBSTITUTE(SUBSTITUTE(SUBSTITUTE(SUBSTITUTE(SUBSTITUTE(SUBSTITUTE(SUBSTITUTE(H13,"游泳池","Swimming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3" s="31" t="str">
        <f aca="false">IF(D13&lt;&gt;"","📍 "&amp;IF(E13&lt;&gt;"",E13&amp;"Bilik ","")&amp;IF(F13&lt;&gt;"",F13&amp;"Bilik Air ","")&amp;IF(G13&lt;&gt;"",G13&amp;" sqft","")&amp;IF(AND(OR(E13&lt;&gt;"",G13&lt;&gt;""),H13&lt;&gt;"")," · ","")&amp;IF(H13&lt;&gt;"",SUBSTITUTE(SUBSTITUTE(SUBSTITUTE(SUBSTITUTE(SUBSTITUTE(SUBSTITUTE(SUBSTITUTE(SUBSTITUTE(SUBSTITUTE(SUBSTITUTE(H13,"游泳池","Kolam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3" s="32" t="str">
        <f aca="false">IF(OR(I13&lt;&gt;"",J13&lt;&gt;"",K13&lt;&gt;""),"🔒 "&amp;IF(I13&lt;&gt;"",I13,"")&amp;IF(AND(I13&lt;&gt;"",J13&lt;&gt;"")," · ","")&amp;IF(J13&lt;&gt;"",J13,"")&amp;IF(AND(OR(I13&lt;&gt;"",J13&lt;&gt;""),K13&lt;&gt;"")," · ","")&amp;IF(K13&lt;&gt;"",K13,""),"")</f>
        <v/>
      </c>
      <c r="V13" s="31" t="str">
        <f aca="false">IF(L13&lt;&gt;"","💰 月租 RM "&amp;TEXT(L13,"#,##0"),"")</f>
        <v/>
      </c>
      <c r="W13" s="31" t="str">
        <f aca="false">IF(L13&lt;&gt;"","💰 Monthly Rent RM "&amp;TEXT(L13,"#,##0"),"")</f>
        <v/>
      </c>
      <c r="X13" s="31" t="str">
        <f aca="false">IF(L13&lt;&gt;"","💰 Sewa Bulanan RM "&amp;TEXT(L13,"#,##0"),"")</f>
        <v/>
      </c>
      <c r="Y13" s="33" t="str">
        <f aca="false">IF(D13&lt;&gt;"","您好！我想咨询出租：
🏠 "&amp;D13&amp;"
"&amp;IF(E13&lt;&gt;"","🛏 "&amp;E13&amp;"房"&amp;IF(F13&lt;&gt;""," "&amp;F13&amp;"卫","")&amp;"
","")&amp;IF(G13&lt;&gt;"","📐 "&amp;G13&amp;" sqft
","")&amp;IF(H13&lt;&gt;"","🏊 "&amp;H13&amp;"
","")&amp;IF(U13&lt;&gt;"",U13&amp;"
","")&amp;IF(L13&lt;&gt;"","💰 月租 RM "&amp;TEXT(L13,"#,##0")&amp;"
","")&amp;"
请问还有空档吗？谢谢！","")</f>
        <v/>
      </c>
      <c r="Z13" s="33" t="str">
        <f aca="false">IF(D13&lt;&gt;"","Hi! I'd like to make a rental enquiry:
🏠 "&amp;P13&amp;"
"&amp;IF(E13&lt;&gt;"","🛏 "&amp;E13&amp;"BR"&amp;IF(F13&lt;&gt;""," "&amp;F13&amp;"BA","")&amp;"
","")&amp;IF(G13&lt;&gt;"","📐 "&amp;G13&amp;" sqft
","")&amp;IF(H13&lt;&gt;"","🏊 "&amp;SUBSTITUTE(SUBSTITUTE(SUBSTITUTE(SUBSTITUTE(SUBSTITUTE(SUBSTITUTE(SUBSTITUTE(SUBSTITUTE(SUBSTITUTE(SUBSTITUTE(H13,"游泳池","Swimming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","")&amp;IF(L13&lt;&gt;"","💰 Monthly Rent RM "&amp;TEXT(L13,"#,##0")&amp;"
","")&amp;"
Is this still available? Thank you!","")</f>
        <v/>
      </c>
      <c r="AA13" s="31"/>
      <c r="AB13" s="33" t="str">
        <f aca="false">IF(D13&lt;&gt;"","Helo! Saya ingin membuat pertanyaan sewa:
🏠 "&amp;Q13&amp;"
"&amp;IF(E13&lt;&gt;"","🛏 "&amp;E13&amp;"Bilik"&amp;IF(F13&lt;&gt;""," "&amp;F13&amp;"Bilik Air","")&amp;"
","")&amp;IF(G13&lt;&gt;"","📐 "&amp;G13&amp;" sqft
","")&amp;IF(H13&lt;&gt;"","🏊 "&amp;SUBSTITUTE(SUBSTITUTE(SUBSTITUTE(SUBSTITUTE(SUBSTITUTE(SUBSTITUTE(SUBSTITUTE(SUBSTITUTE(SUBSTITUTE(SUBSTITUTE(H13,"游泳池","Kolam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","")&amp;IF(L13&lt;&gt;"","💰 Sewa Bulanan RM "&amp;TEXT(L13,"#,##0")&amp;"
","")&amp;"
Adakah masih tersedia? Terima kasih!","")</f>
        <v/>
      </c>
    </row>
    <row r="14" customFormat="false" ht="5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  <c r="L14" s="28"/>
      <c r="M14" s="30"/>
      <c r="N14" s="31" t="str">
        <f aca="false">IFERROR(ifs(B14="🏢 Condo 公寓","fa-building",B14="🏠 Apartment 单位","fa-home",B14="🌿 即租即住","fa-home",B14="🌿 近国际学校","fa-school",B14="📌 商业旺铺","fa-store",B14="🌟 海景豪宅","fa-water-ladder",B14="📈 投资优选","fa-chart-line",B14="🏞️ 花园住宅","fa-tree",B14="🌟 2026全新地标","fa-drafting-compass",B14="📈 海外投资优选","fa-globe",B14="🌆 核心地段","fa-city",B14="🔥 限时优惠","fa-fire",B14="✅ 永久产权","fa-certificate",B14="🏅 高回报","fa-medal",B14="🏖️ 度假胜地","fa-umbrella-beach",B14="🏫 学区优选","fa-graduation-cap",B14="🛣️ 交通便利","fa-road",B14="🔑 即买即住","fa-key"),"fa-home")</f>
        <v>fa-home</v>
      </c>
      <c r="O14" s="31" t="str">
        <f aca="false">IF(D14&lt;&gt;"",D14,"")</f>
        <v/>
      </c>
      <c r="P14" s="31" t="str">
        <f aca="false">IF(D14&lt;&gt;"",SUBSTITUTE(SUBSTITUTE(SUBSTITUTE(SUBSTITUTE(SUBSTITUTE(SUBSTITUTE(SUBSTITUTE(SUBSTITUTE(SUBSTITUTE(SUBSTITUTE(D14,"亚庇","Kota Kinabalu"),"公寓","Condo"),"排屋","Terrace"),"别墅","Villa"),"店铺","Shop"),"新山","Johor Bahru"),"市中心","City Centre"),"高级","Premium"),"单位","Unit"),"住宅","Residence"),"")</f>
        <v/>
      </c>
      <c r="Q14" s="31" t="str">
        <f aca="false">IF(D14&lt;&gt;"",SUBSTITUTE(SUBSTITUTE(SUBSTITUTE(SUBSTITUTE(SUBSTITUTE(SUBSTITUTE(SUBSTITUTE(SUBSTITUTE(SUBSTITUTE(SUBSTITUTE(D14,"亚庇","Kota Kinabalu"),"公寓","Kondominium"),"排屋","Rumah Teres"),"别墅","Vila"),"店铺","Kedai"),"新山","Johor Bahru"),"市中心","Pusat Bandar"),"高级","Premium"),"单位","Unit"),"住宅","Kediaman"),"")</f>
        <v/>
      </c>
      <c r="R14" s="31" t="str">
        <f aca="false">IF(D14&lt;&gt;"","📍 "&amp;IF(E14&lt;&gt;"",E14&amp;"房","")&amp;IF(F14&lt;&gt;"",F14&amp;"卫 ","")&amp;IF(G14&lt;&gt;"",G14&amp;" sqft","")&amp;IF(AND(OR(E14&lt;&gt;"",G14&lt;&gt;""),H14&lt;&gt;"")," · ","")&amp;IF(H14&lt;&gt;"",H14,""),"")</f>
        <v/>
      </c>
      <c r="S14" s="31" t="str">
        <f aca="false">IF(D14&lt;&gt;"","📍 "&amp;IF(E14&lt;&gt;"",E14&amp;"BR ","")&amp;IF(F14&lt;&gt;"",F14&amp;"BA ","")&amp;IF(G14&lt;&gt;"",G14&amp;" sqft","")&amp;IF(AND(OR(E14&lt;&gt;"",G14&lt;&gt;""),H14&lt;&gt;"")," · ","")&amp;IF(H14&lt;&gt;"",SUBSTITUTE(SUBSTITUTE(SUBSTITUTE(SUBSTITUTE(SUBSTITUTE(SUBSTITUTE(SUBSTITUTE(SUBSTITUTE(SUBSTITUTE(SUBSTITUTE(H14,"游泳池","Swimming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4" s="31" t="str">
        <f aca="false">IF(D14&lt;&gt;"","📍 "&amp;IF(E14&lt;&gt;"",E14&amp;"Bilik ","")&amp;IF(F14&lt;&gt;"",F14&amp;"Bilik Air ","")&amp;IF(G14&lt;&gt;"",G14&amp;" sqft","")&amp;IF(AND(OR(E14&lt;&gt;"",G14&lt;&gt;""),H14&lt;&gt;"")," · ","")&amp;IF(H14&lt;&gt;"",SUBSTITUTE(SUBSTITUTE(SUBSTITUTE(SUBSTITUTE(SUBSTITUTE(SUBSTITUTE(SUBSTITUTE(SUBSTITUTE(SUBSTITUTE(SUBSTITUTE(H14,"游泳池","Kolam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4" s="32" t="str">
        <f aca="false">IF(OR(I14&lt;&gt;"",J14&lt;&gt;"",K14&lt;&gt;""),"🔒 "&amp;IF(I14&lt;&gt;"",I14,"")&amp;IF(AND(I14&lt;&gt;"",J14&lt;&gt;"")," · ","")&amp;IF(J14&lt;&gt;"",J14,"")&amp;IF(AND(OR(I14&lt;&gt;"",J14&lt;&gt;""),K14&lt;&gt;"")," · ","")&amp;IF(K14&lt;&gt;"",K14,""),"")</f>
        <v/>
      </c>
      <c r="V14" s="31" t="str">
        <f aca="false">IF(L14&lt;&gt;"","💰 月租 RM "&amp;TEXT(L14,"#,##0"),"")</f>
        <v/>
      </c>
      <c r="W14" s="31" t="str">
        <f aca="false">IF(L14&lt;&gt;"","💰 Monthly Rent RM "&amp;TEXT(L14,"#,##0"),"")</f>
        <v/>
      </c>
      <c r="X14" s="31" t="str">
        <f aca="false">IF(L14&lt;&gt;"","💰 Sewa Bulanan RM "&amp;TEXT(L14,"#,##0"),"")</f>
        <v/>
      </c>
      <c r="Y14" s="33" t="str">
        <f aca="false">IF(D14&lt;&gt;"","您好！我想咨询出租：
🏠 "&amp;D14&amp;"
"&amp;IF(E14&lt;&gt;"","🛏 "&amp;E14&amp;"房"&amp;IF(F14&lt;&gt;""," "&amp;F14&amp;"卫","")&amp;"
","")&amp;IF(G14&lt;&gt;"","📐 "&amp;G14&amp;" sqft
","")&amp;IF(H14&lt;&gt;"","🏊 "&amp;H14&amp;"
","")&amp;IF(U14&lt;&gt;"",U14&amp;"
","")&amp;IF(L14&lt;&gt;"","💰 月租 RM "&amp;TEXT(L14,"#,##0")&amp;"
","")&amp;"
请问还有空档吗？谢谢！","")</f>
        <v/>
      </c>
      <c r="Z14" s="33" t="str">
        <f aca="false">IF(D14&lt;&gt;"","Hi! I'd like to make a rental enquiry:
🏠 "&amp;P14&amp;"
"&amp;IF(E14&lt;&gt;"","🛏 "&amp;E14&amp;"BR"&amp;IF(F14&lt;&gt;""," "&amp;F14&amp;"BA","")&amp;"
","")&amp;IF(G14&lt;&gt;"","📐 "&amp;G14&amp;" sqft
","")&amp;IF(H14&lt;&gt;"","🏊 "&amp;SUBSTITUTE(SUBSTITUTE(SUBSTITUTE(SUBSTITUTE(SUBSTITUTE(SUBSTITUTE(SUBSTITUTE(SUBSTITUTE(SUBSTITUTE(SUBSTITUTE(H14,"游泳池","Swimming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","")&amp;IF(L14&lt;&gt;"","💰 Monthly Rent RM "&amp;TEXT(L14,"#,##0")&amp;"
","")&amp;"
Is this still available? Thank you!","")</f>
        <v/>
      </c>
      <c r="AA14" s="31"/>
      <c r="AB14" s="33" t="str">
        <f aca="false">IF(D14&lt;&gt;"","Helo! Saya ingin membuat pertanyaan sewa:
🏠 "&amp;Q14&amp;"
"&amp;IF(E14&lt;&gt;"","🛏 "&amp;E14&amp;"Bilik"&amp;IF(F14&lt;&gt;""," "&amp;F14&amp;"Bilik Air","")&amp;"
","")&amp;IF(G14&lt;&gt;"","📐 "&amp;G14&amp;" sqft
","")&amp;IF(H14&lt;&gt;"","🏊 "&amp;SUBSTITUTE(SUBSTITUTE(SUBSTITUTE(SUBSTITUTE(SUBSTITUTE(SUBSTITUTE(SUBSTITUTE(SUBSTITUTE(SUBSTITUTE(SUBSTITUTE(H14,"游泳池","Kolam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","")&amp;IF(L14&lt;&gt;"","💰 Sewa Bulanan RM "&amp;TEXT(L14,"#,##0")&amp;"
","")&amp;"
Adakah masih tersedia? Terima kasih!","")</f>
        <v/>
      </c>
    </row>
    <row r="15" customFormat="false" ht="51.7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9"/>
      <c r="J15" s="29"/>
      <c r="K15" s="29"/>
      <c r="L15" s="28"/>
      <c r="M15" s="30"/>
      <c r="N15" s="31" t="str">
        <f aca="false">IFERROR(ifs(B15="🏢 Condo 公寓","fa-building",B15="🏠 Apartment 单位","fa-home",B15="🌿 即租即住","fa-home",B15="🌿 近国际学校","fa-school",B15="📌 商业旺铺","fa-store",B15="🌟 海景豪宅","fa-water-ladder",B15="📈 投资优选","fa-chart-line",B15="🏞️ 花园住宅","fa-tree",B15="🌟 2026全新地标","fa-drafting-compass",B15="📈 海外投资优选","fa-globe",B15="🌆 核心地段","fa-city",B15="🔥 限时优惠","fa-fire",B15="✅ 永久产权","fa-certificate",B15="🏅 高回报","fa-medal",B15="🏖️ 度假胜地","fa-umbrella-beach",B15="🏫 学区优选","fa-graduation-cap",B15="🛣️ 交通便利","fa-road",B15="🔑 即买即住","fa-key"),"fa-home")</f>
        <v>fa-home</v>
      </c>
      <c r="O15" s="31" t="str">
        <f aca="false">IF(D15&lt;&gt;"",D15,"")</f>
        <v/>
      </c>
      <c r="P15" s="31" t="str">
        <f aca="false">IF(D15&lt;&gt;"",SUBSTITUTE(SUBSTITUTE(SUBSTITUTE(SUBSTITUTE(SUBSTITUTE(SUBSTITUTE(SUBSTITUTE(SUBSTITUTE(SUBSTITUTE(SUBSTITUTE(D15,"亚庇","Kota Kinabalu"),"公寓","Condo"),"排屋","Terrace"),"别墅","Villa"),"店铺","Shop"),"新山","Johor Bahru"),"市中心","City Centre"),"高级","Premium"),"单位","Unit"),"住宅","Residence"),"")</f>
        <v/>
      </c>
      <c r="Q15" s="31" t="str">
        <f aca="false">IF(D15&lt;&gt;"",SUBSTITUTE(SUBSTITUTE(SUBSTITUTE(SUBSTITUTE(SUBSTITUTE(SUBSTITUTE(SUBSTITUTE(SUBSTITUTE(SUBSTITUTE(SUBSTITUTE(D15,"亚庇","Kota Kinabalu"),"公寓","Kondominium"),"排屋","Rumah Teres"),"别墅","Vila"),"店铺","Kedai"),"新山","Johor Bahru"),"市中心","Pusat Bandar"),"高级","Premium"),"单位","Unit"),"住宅","Kediaman"),"")</f>
        <v/>
      </c>
      <c r="R15" s="31" t="str">
        <f aca="false">IF(D15&lt;&gt;"","📍 "&amp;IF(E15&lt;&gt;"",E15&amp;"房","")&amp;IF(F15&lt;&gt;"",F15&amp;"卫 ","")&amp;IF(G15&lt;&gt;"",G15&amp;" sqft","")&amp;IF(AND(OR(E15&lt;&gt;"",G15&lt;&gt;""),H15&lt;&gt;"")," · ","")&amp;IF(H15&lt;&gt;"",H15,""),"")</f>
        <v/>
      </c>
      <c r="S15" s="31" t="str">
        <f aca="false">IF(D15&lt;&gt;"","📍 "&amp;IF(E15&lt;&gt;"",E15&amp;"BR ","")&amp;IF(F15&lt;&gt;"",F15&amp;"BA ","")&amp;IF(G15&lt;&gt;"",G15&amp;" sqft","")&amp;IF(AND(OR(E15&lt;&gt;"",G15&lt;&gt;""),H15&lt;&gt;"")," · ","")&amp;IF(H15&lt;&gt;"",SUBSTITUTE(SUBSTITUTE(SUBSTITUTE(SUBSTITUTE(SUBSTITUTE(SUBSTITUTE(SUBSTITUTE(SUBSTITUTE(SUBSTITUTE(SUBSTITUTE(H15,"游泳池","Swimming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5" s="31" t="str">
        <f aca="false">IF(D15&lt;&gt;"","📍 "&amp;IF(E15&lt;&gt;"",E15&amp;"Bilik ","")&amp;IF(F15&lt;&gt;"",F15&amp;"Bilik Air ","")&amp;IF(G15&lt;&gt;"",G15&amp;" sqft","")&amp;IF(AND(OR(E15&lt;&gt;"",G15&lt;&gt;""),H15&lt;&gt;"")," · ","")&amp;IF(H15&lt;&gt;"",SUBSTITUTE(SUBSTITUTE(SUBSTITUTE(SUBSTITUTE(SUBSTITUTE(SUBSTITUTE(SUBSTITUTE(SUBSTITUTE(SUBSTITUTE(SUBSTITUTE(H15,"游泳池","Kolam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5" s="32" t="str">
        <f aca="false">IF(OR(I15&lt;&gt;"",J15&lt;&gt;"",K15&lt;&gt;""),"🔒 "&amp;IF(I15&lt;&gt;"",I15,"")&amp;IF(AND(I15&lt;&gt;"",J15&lt;&gt;"")," · ","")&amp;IF(J15&lt;&gt;"",J15,"")&amp;IF(AND(OR(I15&lt;&gt;"",J15&lt;&gt;""),K15&lt;&gt;"")," · ","")&amp;IF(K15&lt;&gt;"",K15,""),"")</f>
        <v/>
      </c>
      <c r="V15" s="31" t="str">
        <f aca="false">IF(L15&lt;&gt;"","💰 月租 RM "&amp;TEXT(L15,"#,##0"),"")</f>
        <v/>
      </c>
      <c r="W15" s="31" t="str">
        <f aca="false">IF(L15&lt;&gt;"","💰 Monthly Rent RM "&amp;TEXT(L15,"#,##0"),"")</f>
        <v/>
      </c>
      <c r="X15" s="31" t="str">
        <f aca="false">IF(L15&lt;&gt;"","💰 Sewa Bulanan RM "&amp;TEXT(L15,"#,##0"),"")</f>
        <v/>
      </c>
      <c r="Y15" s="33" t="str">
        <f aca="false">IF(D15&lt;&gt;"","您好！我想咨询出租：
🏠 "&amp;D15&amp;"
"&amp;IF(E15&lt;&gt;"","🛏 "&amp;E15&amp;"房"&amp;IF(F15&lt;&gt;""," "&amp;F15&amp;"卫","")&amp;"
","")&amp;IF(G15&lt;&gt;"","📐 "&amp;G15&amp;" sqft
","")&amp;IF(H15&lt;&gt;"","🏊 "&amp;H15&amp;"
","")&amp;IF(U15&lt;&gt;"",U15&amp;"
","")&amp;IF(L15&lt;&gt;"","💰 月租 RM "&amp;TEXT(L15,"#,##0")&amp;"
","")&amp;"
请问还有空档吗？谢谢！","")</f>
        <v/>
      </c>
      <c r="Z15" s="33" t="str">
        <f aca="false">IF(D15&lt;&gt;"","Hi! I'd like to make a rental enquiry:
🏠 "&amp;P15&amp;"
"&amp;IF(E15&lt;&gt;"","🛏 "&amp;E15&amp;"BR"&amp;IF(F15&lt;&gt;""," "&amp;F15&amp;"BA","")&amp;"
","")&amp;IF(G15&lt;&gt;"","📐 "&amp;G15&amp;" sqft
","")&amp;IF(H15&lt;&gt;"","🏊 "&amp;SUBSTITUTE(SUBSTITUTE(SUBSTITUTE(SUBSTITUTE(SUBSTITUTE(SUBSTITUTE(SUBSTITUTE(SUBSTITUTE(SUBSTITUTE(SUBSTITUTE(H15,"游泳池","Swimming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","")&amp;IF(L15&lt;&gt;"","💰 Monthly Rent RM "&amp;TEXT(L15,"#,##0")&amp;"
","")&amp;"
Is this still available? Thank you!","")</f>
        <v/>
      </c>
      <c r="AA15" s="31"/>
      <c r="AB15" s="33" t="str">
        <f aca="false">IF(D15&lt;&gt;"","Helo! Saya ingin membuat pertanyaan sewa:
🏠 "&amp;Q15&amp;"
"&amp;IF(E15&lt;&gt;"","🛏 "&amp;E15&amp;"Bilik"&amp;IF(F15&lt;&gt;""," "&amp;F15&amp;"Bilik Air","")&amp;"
","")&amp;IF(G15&lt;&gt;"","📐 "&amp;G15&amp;" sqft
","")&amp;IF(H15&lt;&gt;"","🏊 "&amp;SUBSTITUTE(SUBSTITUTE(SUBSTITUTE(SUBSTITUTE(SUBSTITUTE(SUBSTITUTE(SUBSTITUTE(SUBSTITUTE(SUBSTITUTE(SUBSTITUTE(H15,"游泳池","Kolam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","")&amp;IF(L15&lt;&gt;"","💰 Sewa Bulanan RM "&amp;TEXT(L15,"#,##0")&amp;"
","")&amp;"
Adakah masih tersedia? Terima kasih!","")</f>
        <v/>
      </c>
    </row>
    <row r="16" customFormat="false" ht="5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9"/>
      <c r="J16" s="29"/>
      <c r="K16" s="29"/>
      <c r="L16" s="28"/>
      <c r="M16" s="30"/>
      <c r="N16" s="31" t="str">
        <f aca="false">IFERROR(ifs(B16="🏢 Condo 公寓","fa-building",B16="🏠 Apartment 单位","fa-home",B16="🌿 即租即住","fa-home",B16="🌿 近国际学校","fa-school",B16="📌 商业旺铺","fa-store",B16="🌟 海景豪宅","fa-water-ladder",B16="📈 投资优选","fa-chart-line",B16="🏞️ 花园住宅","fa-tree",B16="🌟 2026全新地标","fa-drafting-compass",B16="📈 海外投资优选","fa-globe",B16="🌆 核心地段","fa-city",B16="🔥 限时优惠","fa-fire",B16="✅ 永久产权","fa-certificate",B16="🏅 高回报","fa-medal",B16="🏖️ 度假胜地","fa-umbrella-beach",B16="🏫 学区优选","fa-graduation-cap",B16="🛣️ 交通便利","fa-road",B16="🔑 即买即住","fa-key"),"fa-home")</f>
        <v>fa-home</v>
      </c>
      <c r="O16" s="31" t="str">
        <f aca="false">IF(D16&lt;&gt;"",D16,"")</f>
        <v/>
      </c>
      <c r="P16" s="31" t="str">
        <f aca="false">IF(D16&lt;&gt;"",SUBSTITUTE(SUBSTITUTE(SUBSTITUTE(SUBSTITUTE(SUBSTITUTE(SUBSTITUTE(SUBSTITUTE(SUBSTITUTE(SUBSTITUTE(SUBSTITUTE(D16,"亚庇","Kota Kinabalu"),"公寓","Condo"),"排屋","Terrace"),"别墅","Villa"),"店铺","Shop"),"新山","Johor Bahru"),"市中心","City Centre"),"高级","Premium"),"单位","Unit"),"住宅","Residence"),"")</f>
        <v/>
      </c>
      <c r="Q16" s="31" t="str">
        <f aca="false">IF(D16&lt;&gt;"",SUBSTITUTE(SUBSTITUTE(SUBSTITUTE(SUBSTITUTE(SUBSTITUTE(SUBSTITUTE(SUBSTITUTE(SUBSTITUTE(SUBSTITUTE(SUBSTITUTE(D16,"亚庇","Kota Kinabalu"),"公寓","Kondominium"),"排屋","Rumah Teres"),"别墅","Vila"),"店铺","Kedai"),"新山","Johor Bahru"),"市中心","Pusat Bandar"),"高级","Premium"),"单位","Unit"),"住宅","Kediaman"),"")</f>
        <v/>
      </c>
      <c r="R16" s="31" t="str">
        <f aca="false">IF(D16&lt;&gt;"","📍 "&amp;IF(E16&lt;&gt;"",E16&amp;"房","")&amp;IF(F16&lt;&gt;"",F16&amp;"卫 ","")&amp;IF(G16&lt;&gt;"",G16&amp;" sqft","")&amp;IF(AND(OR(E16&lt;&gt;"",G16&lt;&gt;""),H16&lt;&gt;"")," · ","")&amp;IF(H16&lt;&gt;"",H16,""),"")</f>
        <v/>
      </c>
      <c r="S16" s="31" t="str">
        <f aca="false">IF(D16&lt;&gt;"","📍 "&amp;IF(E16&lt;&gt;"",E16&amp;"BR ","")&amp;IF(F16&lt;&gt;"",F16&amp;"BA ","")&amp;IF(G16&lt;&gt;"",G16&amp;" sqft","")&amp;IF(AND(OR(E16&lt;&gt;"",G16&lt;&gt;""),H16&lt;&gt;"")," · ","")&amp;IF(H16&lt;&gt;"",SUBSTITUTE(SUBSTITUTE(SUBSTITUTE(SUBSTITUTE(SUBSTITUTE(SUBSTITUTE(SUBSTITUTE(SUBSTITUTE(SUBSTITUTE(SUBSTITUTE(H16,"游泳池","Swimming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6" s="31" t="str">
        <f aca="false">IF(D16&lt;&gt;"","📍 "&amp;IF(E16&lt;&gt;"",E16&amp;"Bilik ","")&amp;IF(F16&lt;&gt;"",F16&amp;"Bilik Air ","")&amp;IF(G16&lt;&gt;"",G16&amp;" sqft","")&amp;IF(AND(OR(E16&lt;&gt;"",G16&lt;&gt;""),H16&lt;&gt;"")," · ","")&amp;IF(H16&lt;&gt;"",SUBSTITUTE(SUBSTITUTE(SUBSTITUTE(SUBSTITUTE(SUBSTITUTE(SUBSTITUTE(SUBSTITUTE(SUBSTITUTE(SUBSTITUTE(SUBSTITUTE(H16,"游泳池","Kolam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6" s="32" t="str">
        <f aca="false">IF(OR(I16&lt;&gt;"",J16&lt;&gt;"",K16&lt;&gt;""),"🔒 "&amp;IF(I16&lt;&gt;"",I16,"")&amp;IF(AND(I16&lt;&gt;"",J16&lt;&gt;"")," · ","")&amp;IF(J16&lt;&gt;"",J16,"")&amp;IF(AND(OR(I16&lt;&gt;"",J16&lt;&gt;""),K16&lt;&gt;"")," · ","")&amp;IF(K16&lt;&gt;"",K16,""),"")</f>
        <v/>
      </c>
      <c r="V16" s="31" t="str">
        <f aca="false">IF(L16&lt;&gt;"","💰 月租 RM "&amp;TEXT(L16,"#,##0"),"")</f>
        <v/>
      </c>
      <c r="W16" s="31" t="str">
        <f aca="false">IF(L16&lt;&gt;"","💰 Monthly Rent RM "&amp;TEXT(L16,"#,##0"),"")</f>
        <v/>
      </c>
      <c r="X16" s="31" t="str">
        <f aca="false">IF(L16&lt;&gt;"","💰 Sewa Bulanan RM "&amp;TEXT(L16,"#,##0"),"")</f>
        <v/>
      </c>
      <c r="Y16" s="33" t="str">
        <f aca="false">IF(D16&lt;&gt;"","您好！我想咨询出租：
🏠 "&amp;D16&amp;"
"&amp;IF(E16&lt;&gt;"","🛏 "&amp;E16&amp;"房"&amp;IF(F16&lt;&gt;""," "&amp;F16&amp;"卫","")&amp;"
","")&amp;IF(G16&lt;&gt;"","📐 "&amp;G16&amp;" sqft
","")&amp;IF(H16&lt;&gt;"","🏊 "&amp;H16&amp;"
","")&amp;IF(U16&lt;&gt;"",U16&amp;"
","")&amp;IF(L16&lt;&gt;"","💰 月租 RM "&amp;TEXT(L16,"#,##0")&amp;"
","")&amp;"
请问还有空档吗？谢谢！","")</f>
        <v/>
      </c>
      <c r="Z16" s="33" t="str">
        <f aca="false">IF(D16&lt;&gt;"","Hi! I'd like to make a rental enquiry:
🏠 "&amp;P16&amp;"
"&amp;IF(E16&lt;&gt;"","🛏 "&amp;E16&amp;"BR"&amp;IF(F16&lt;&gt;""," "&amp;F16&amp;"BA","")&amp;"
","")&amp;IF(G16&lt;&gt;"","📐 "&amp;G16&amp;" sqft
","")&amp;IF(H16&lt;&gt;"","🏊 "&amp;SUBSTITUTE(SUBSTITUTE(SUBSTITUTE(SUBSTITUTE(SUBSTITUTE(SUBSTITUTE(SUBSTITUTE(SUBSTITUTE(SUBSTITUTE(SUBSTITUTE(H16,"游泳池","Swimming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","")&amp;IF(L16&lt;&gt;"","💰 Monthly Rent RM "&amp;TEXT(L16,"#,##0")&amp;"
","")&amp;"
Is this still available? Thank you!","")</f>
        <v/>
      </c>
      <c r="AA16" s="31"/>
      <c r="AB16" s="33" t="str">
        <f aca="false">IF(D16&lt;&gt;"","Helo! Saya ingin membuat pertanyaan sewa:
🏠 "&amp;Q16&amp;"
"&amp;IF(E16&lt;&gt;"","🛏 "&amp;E16&amp;"Bilik"&amp;IF(F16&lt;&gt;""," "&amp;F16&amp;"Bilik Air","")&amp;"
","")&amp;IF(G16&lt;&gt;"","📐 "&amp;G16&amp;" sqft
","")&amp;IF(H16&lt;&gt;"","🏊 "&amp;SUBSTITUTE(SUBSTITUTE(SUBSTITUTE(SUBSTITUTE(SUBSTITUTE(SUBSTITUTE(SUBSTITUTE(SUBSTITUTE(SUBSTITUTE(SUBSTITUTE(H16,"游泳池","Kolam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","")&amp;IF(L16&lt;&gt;"","💰 Sewa Bulanan RM "&amp;TEXT(L16,"#,##0")&amp;"
","")&amp;"
Adakah masih tersedia? Terima kasih!","")</f>
        <v/>
      </c>
    </row>
    <row r="17" customFormat="false" ht="51.7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9"/>
      <c r="J17" s="29"/>
      <c r="K17" s="29"/>
      <c r="L17" s="28"/>
      <c r="M17" s="30"/>
      <c r="N17" s="31" t="str">
        <f aca="false">IFERROR(ifs(B17="🏢 Condo 公寓","fa-building",B17="🏠 Apartment 单位","fa-home",B17="🌿 即租即住","fa-home",B17="🌿 近国际学校","fa-school",B17="📌 商业旺铺","fa-store",B17="🌟 海景豪宅","fa-water-ladder",B17="📈 投资优选","fa-chart-line",B17="🏞️ 花园住宅","fa-tree",B17="🌟 2026全新地标","fa-drafting-compass",B17="📈 海外投资优选","fa-globe",B17="🌆 核心地段","fa-city",B17="🔥 限时优惠","fa-fire",B17="✅ 永久产权","fa-certificate",B17="🏅 高回报","fa-medal",B17="🏖️ 度假胜地","fa-umbrella-beach",B17="🏫 学区优选","fa-graduation-cap",B17="🛣️ 交通便利","fa-road",B17="🔑 即买即住","fa-key"),"fa-home")</f>
        <v>fa-home</v>
      </c>
      <c r="O17" s="31" t="str">
        <f aca="false">IF(D17&lt;&gt;"",D17,"")</f>
        <v/>
      </c>
      <c r="P17" s="31" t="str">
        <f aca="false">IF(D17&lt;&gt;"",SUBSTITUTE(SUBSTITUTE(SUBSTITUTE(SUBSTITUTE(SUBSTITUTE(SUBSTITUTE(SUBSTITUTE(SUBSTITUTE(SUBSTITUTE(SUBSTITUTE(D17,"亚庇","Kota Kinabalu"),"公寓","Condo"),"排屋","Terrace"),"别墅","Villa"),"店铺","Shop"),"新山","Johor Bahru"),"市中心","City Centre"),"高级","Premium"),"单位","Unit"),"住宅","Residence"),"")</f>
        <v/>
      </c>
      <c r="Q17" s="31" t="str">
        <f aca="false">IF(D17&lt;&gt;"",SUBSTITUTE(SUBSTITUTE(SUBSTITUTE(SUBSTITUTE(SUBSTITUTE(SUBSTITUTE(SUBSTITUTE(SUBSTITUTE(SUBSTITUTE(SUBSTITUTE(D17,"亚庇","Kota Kinabalu"),"公寓","Kondominium"),"排屋","Rumah Teres"),"别墅","Vila"),"店铺","Kedai"),"新山","Johor Bahru"),"市中心","Pusat Bandar"),"高级","Premium"),"单位","Unit"),"住宅","Kediaman"),"")</f>
        <v/>
      </c>
      <c r="R17" s="31" t="str">
        <f aca="false">IF(D17&lt;&gt;"","📍 "&amp;IF(E17&lt;&gt;"",E17&amp;"房","")&amp;IF(F17&lt;&gt;"",F17&amp;"卫 ","")&amp;IF(G17&lt;&gt;"",G17&amp;" sqft","")&amp;IF(AND(OR(E17&lt;&gt;"",G17&lt;&gt;""),H17&lt;&gt;"")," · ","")&amp;IF(H17&lt;&gt;"",H17,""),"")</f>
        <v/>
      </c>
      <c r="S17" s="31" t="str">
        <f aca="false">IF(D17&lt;&gt;"","📍 "&amp;IF(E17&lt;&gt;"",E17&amp;"BR ","")&amp;IF(F17&lt;&gt;"",F17&amp;"BA ","")&amp;IF(G17&lt;&gt;"",G17&amp;" sqft","")&amp;IF(AND(OR(E17&lt;&gt;"",G17&lt;&gt;""),H17&lt;&gt;"")," · ","")&amp;IF(H17&lt;&gt;"",SUBSTITUTE(SUBSTITUTE(SUBSTITUTE(SUBSTITUTE(SUBSTITUTE(SUBSTITUTE(SUBSTITUTE(SUBSTITUTE(SUBSTITUTE(SUBSTITUTE(H17,"游泳池","Swimming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7" s="31" t="str">
        <f aca="false">IF(D17&lt;&gt;"","📍 "&amp;IF(E17&lt;&gt;"",E17&amp;"Bilik ","")&amp;IF(F17&lt;&gt;"",F17&amp;"Bilik Air ","")&amp;IF(G17&lt;&gt;"",G17&amp;" sqft","")&amp;IF(AND(OR(E17&lt;&gt;"",G17&lt;&gt;""),H17&lt;&gt;"")," · ","")&amp;IF(H17&lt;&gt;"",SUBSTITUTE(SUBSTITUTE(SUBSTITUTE(SUBSTITUTE(SUBSTITUTE(SUBSTITUTE(SUBSTITUTE(SUBSTITUTE(SUBSTITUTE(SUBSTITUTE(H17,"游泳池","Kolam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7" s="32" t="str">
        <f aca="false">IF(OR(I17&lt;&gt;"",J17&lt;&gt;"",K17&lt;&gt;""),"🔒 "&amp;IF(I17&lt;&gt;"",I17,"")&amp;IF(AND(I17&lt;&gt;"",J17&lt;&gt;"")," · ","")&amp;IF(J17&lt;&gt;"",J17,"")&amp;IF(AND(OR(I17&lt;&gt;"",J17&lt;&gt;""),K17&lt;&gt;"")," · ","")&amp;IF(K17&lt;&gt;"",K17,""),"")</f>
        <v/>
      </c>
      <c r="V17" s="31" t="str">
        <f aca="false">IF(L17&lt;&gt;"","💰 月租 RM "&amp;TEXT(L17,"#,##0"),"")</f>
        <v/>
      </c>
      <c r="W17" s="31" t="str">
        <f aca="false">IF(L17&lt;&gt;"","💰 Monthly Rent RM "&amp;TEXT(L17,"#,##0"),"")</f>
        <v/>
      </c>
      <c r="X17" s="31" t="str">
        <f aca="false">IF(L17&lt;&gt;"","💰 Sewa Bulanan RM "&amp;TEXT(L17,"#,##0"),"")</f>
        <v/>
      </c>
      <c r="Y17" s="33" t="str">
        <f aca="false">IF(D17&lt;&gt;"","您好！我想咨询出租：
🏠 "&amp;D17&amp;"
"&amp;IF(E17&lt;&gt;"","🛏 "&amp;E17&amp;"房"&amp;IF(F17&lt;&gt;""," "&amp;F17&amp;"卫","")&amp;"
","")&amp;IF(G17&lt;&gt;"","📐 "&amp;G17&amp;" sqft
","")&amp;IF(H17&lt;&gt;"","🏊 "&amp;H17&amp;"
","")&amp;IF(U17&lt;&gt;"",U17&amp;"
","")&amp;IF(L17&lt;&gt;"","💰 月租 RM "&amp;TEXT(L17,"#,##0")&amp;"
","")&amp;"
请问还有空档吗？谢谢！","")</f>
        <v/>
      </c>
      <c r="Z17" s="33" t="str">
        <f aca="false">IF(D17&lt;&gt;"","Hi! I'd like to make a rental enquiry:
🏠 "&amp;P17&amp;"
"&amp;IF(E17&lt;&gt;"","🛏 "&amp;E17&amp;"BR"&amp;IF(F17&lt;&gt;""," "&amp;F17&amp;"BA","")&amp;"
","")&amp;IF(G17&lt;&gt;"","📐 "&amp;G17&amp;" sqft
","")&amp;IF(H17&lt;&gt;"","🏊 "&amp;SUBSTITUTE(SUBSTITUTE(SUBSTITUTE(SUBSTITUTE(SUBSTITUTE(SUBSTITUTE(SUBSTITUTE(SUBSTITUTE(SUBSTITUTE(SUBSTITUTE(H17,"游泳池","Swimming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","")&amp;IF(L17&lt;&gt;"","💰 Monthly Rent RM "&amp;TEXT(L17,"#,##0")&amp;"
","")&amp;"
Is this still available? Thank you!","")</f>
        <v/>
      </c>
      <c r="AA17" s="31"/>
      <c r="AB17" s="33" t="str">
        <f aca="false">IF(D17&lt;&gt;"","Helo! Saya ingin membuat pertanyaan sewa:
🏠 "&amp;Q17&amp;"
"&amp;IF(E17&lt;&gt;"","🛏 "&amp;E17&amp;"Bilik"&amp;IF(F17&lt;&gt;""," "&amp;F17&amp;"Bilik Air","")&amp;"
","")&amp;IF(G17&lt;&gt;"","📐 "&amp;G17&amp;" sqft
","")&amp;IF(H17&lt;&gt;"","🏊 "&amp;SUBSTITUTE(SUBSTITUTE(SUBSTITUTE(SUBSTITUTE(SUBSTITUTE(SUBSTITUTE(SUBSTITUTE(SUBSTITUTE(SUBSTITUTE(SUBSTITUTE(H17,"游泳池","Kolam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","")&amp;IF(L17&lt;&gt;"","💰 Sewa Bulanan RM "&amp;TEXT(L17,"#,##0")&amp;"
","")&amp;"
Adakah masih tersedia? Terima kasih!","")</f>
        <v/>
      </c>
    </row>
    <row r="18" customFormat="false" ht="5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9"/>
      <c r="J18" s="29"/>
      <c r="K18" s="29"/>
      <c r="L18" s="28"/>
      <c r="M18" s="30"/>
      <c r="N18" s="31" t="str">
        <f aca="false">IFERROR(ifs(B18="🏢 Condo 公寓","fa-building",B18="🏠 Apartment 单位","fa-home",B18="🌿 即租即住","fa-home",B18="🌿 近国际学校","fa-school",B18="📌 商业旺铺","fa-store",B18="🌟 海景豪宅","fa-water-ladder",B18="📈 投资优选","fa-chart-line",B18="🏞️ 花园住宅","fa-tree",B18="🌟 2026全新地标","fa-drafting-compass",B18="📈 海外投资优选","fa-globe",B18="🌆 核心地段","fa-city",B18="🔥 限时优惠","fa-fire",B18="✅ 永久产权","fa-certificate",B18="🏅 高回报","fa-medal",B18="🏖️ 度假胜地","fa-umbrella-beach",B18="🏫 学区优选","fa-graduation-cap",B18="🛣️ 交通便利","fa-road",B18="🔑 即买即住","fa-key"),"fa-home")</f>
        <v>fa-home</v>
      </c>
      <c r="O18" s="31" t="str">
        <f aca="false">IF(D18&lt;&gt;"",D18,"")</f>
        <v/>
      </c>
      <c r="P18" s="31" t="str">
        <f aca="false">IF(D18&lt;&gt;"",SUBSTITUTE(SUBSTITUTE(SUBSTITUTE(SUBSTITUTE(SUBSTITUTE(SUBSTITUTE(SUBSTITUTE(SUBSTITUTE(SUBSTITUTE(SUBSTITUTE(D18,"亚庇","Kota Kinabalu"),"公寓","Condo"),"排屋","Terrace"),"别墅","Villa"),"店铺","Shop"),"新山","Johor Bahru"),"市中心","City Centre"),"高级","Premium"),"单位","Unit"),"住宅","Residence"),"")</f>
        <v/>
      </c>
      <c r="Q18" s="31" t="str">
        <f aca="false">IF(D18&lt;&gt;"",SUBSTITUTE(SUBSTITUTE(SUBSTITUTE(SUBSTITUTE(SUBSTITUTE(SUBSTITUTE(SUBSTITUTE(SUBSTITUTE(SUBSTITUTE(SUBSTITUTE(D18,"亚庇","Kota Kinabalu"),"公寓","Kondominium"),"排屋","Rumah Teres"),"别墅","Vila"),"店铺","Kedai"),"新山","Johor Bahru"),"市中心","Pusat Bandar"),"高级","Premium"),"单位","Unit"),"住宅","Kediaman"),"")</f>
        <v/>
      </c>
      <c r="R18" s="31" t="str">
        <f aca="false">IF(D18&lt;&gt;"","📍 "&amp;IF(E18&lt;&gt;"",E18&amp;"房","")&amp;IF(F18&lt;&gt;"",F18&amp;"卫 ","")&amp;IF(G18&lt;&gt;"",G18&amp;" sqft","")&amp;IF(AND(OR(E18&lt;&gt;"",G18&lt;&gt;""),H18&lt;&gt;"")," · ","")&amp;IF(H18&lt;&gt;"",H18,""),"")</f>
        <v/>
      </c>
      <c r="S18" s="31" t="str">
        <f aca="false">IF(D18&lt;&gt;"","📍 "&amp;IF(E18&lt;&gt;"",E18&amp;"BR ","")&amp;IF(F18&lt;&gt;"",F18&amp;"BA ","")&amp;IF(G18&lt;&gt;"",G18&amp;" sqft","")&amp;IF(AND(OR(E18&lt;&gt;"",G18&lt;&gt;""),H18&lt;&gt;"")," · ","")&amp;IF(H18&lt;&gt;"",SUBSTITUTE(SUBSTITUTE(SUBSTITUTE(SUBSTITUTE(SUBSTITUTE(SUBSTITUTE(SUBSTITUTE(SUBSTITUTE(SUBSTITUTE(SUBSTITUTE(H18,"游泳池","Swimming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8" s="31" t="str">
        <f aca="false">IF(D18&lt;&gt;"","📍 "&amp;IF(E18&lt;&gt;"",E18&amp;"Bilik ","")&amp;IF(F18&lt;&gt;"",F18&amp;"Bilik Air ","")&amp;IF(G18&lt;&gt;"",G18&amp;" sqft","")&amp;IF(AND(OR(E18&lt;&gt;"",G18&lt;&gt;""),H18&lt;&gt;"")," · ","")&amp;IF(H18&lt;&gt;"",SUBSTITUTE(SUBSTITUTE(SUBSTITUTE(SUBSTITUTE(SUBSTITUTE(SUBSTITUTE(SUBSTITUTE(SUBSTITUTE(SUBSTITUTE(SUBSTITUTE(H18,"游泳池","Kolam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8" s="32" t="str">
        <f aca="false">IF(OR(I18&lt;&gt;"",J18&lt;&gt;"",K18&lt;&gt;""),"🔒 "&amp;IF(I18&lt;&gt;"",I18,"")&amp;IF(AND(I18&lt;&gt;"",J18&lt;&gt;"")," · ","")&amp;IF(J18&lt;&gt;"",J18,"")&amp;IF(AND(OR(I18&lt;&gt;"",J18&lt;&gt;""),K18&lt;&gt;"")," · ","")&amp;IF(K18&lt;&gt;"",K18,""),"")</f>
        <v/>
      </c>
      <c r="V18" s="31" t="str">
        <f aca="false">IF(L18&lt;&gt;"","💰 月租 RM "&amp;TEXT(L18,"#,##0"),"")</f>
        <v/>
      </c>
      <c r="W18" s="31" t="str">
        <f aca="false">IF(L18&lt;&gt;"","💰 Monthly Rent RM "&amp;TEXT(L18,"#,##0"),"")</f>
        <v/>
      </c>
      <c r="X18" s="31" t="str">
        <f aca="false">IF(L18&lt;&gt;"","💰 Sewa Bulanan RM "&amp;TEXT(L18,"#,##0"),"")</f>
        <v/>
      </c>
      <c r="Y18" s="33" t="str">
        <f aca="false">IF(D18&lt;&gt;"","您好！我想咨询出租：
🏠 "&amp;D18&amp;"
"&amp;IF(E18&lt;&gt;"","🛏 "&amp;E18&amp;"房"&amp;IF(F18&lt;&gt;""," "&amp;F18&amp;"卫","")&amp;"
","")&amp;IF(G18&lt;&gt;"","📐 "&amp;G18&amp;" sqft
","")&amp;IF(H18&lt;&gt;"","🏊 "&amp;H18&amp;"
","")&amp;IF(U18&lt;&gt;"",U18&amp;"
","")&amp;IF(L18&lt;&gt;"","💰 月租 RM "&amp;TEXT(L18,"#,##0")&amp;"
","")&amp;"
请问还有空档吗？谢谢！","")</f>
        <v/>
      </c>
      <c r="Z18" s="33" t="str">
        <f aca="false">IF(D18&lt;&gt;"","Hi! I'd like to make a rental enquiry:
🏠 "&amp;P18&amp;"
"&amp;IF(E18&lt;&gt;"","🛏 "&amp;E18&amp;"BR"&amp;IF(F18&lt;&gt;""," "&amp;F18&amp;"BA","")&amp;"
","")&amp;IF(G18&lt;&gt;"","📐 "&amp;G18&amp;" sqft
","")&amp;IF(H18&lt;&gt;"","🏊 "&amp;SUBSTITUTE(SUBSTITUTE(SUBSTITUTE(SUBSTITUTE(SUBSTITUTE(SUBSTITUTE(SUBSTITUTE(SUBSTITUTE(SUBSTITUTE(SUBSTITUTE(H18,"游泳池","Swimming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","")&amp;IF(L18&lt;&gt;"","💰 Monthly Rent RM "&amp;TEXT(L18,"#,##0")&amp;"
","")&amp;"
Is this still available? Thank you!","")</f>
        <v/>
      </c>
      <c r="AA18" s="31"/>
      <c r="AB18" s="33" t="str">
        <f aca="false">IF(D18&lt;&gt;"","Helo! Saya ingin membuat pertanyaan sewa:
🏠 "&amp;Q18&amp;"
"&amp;IF(E18&lt;&gt;"","🛏 "&amp;E18&amp;"Bilik"&amp;IF(F18&lt;&gt;""," "&amp;F18&amp;"Bilik Air","")&amp;"
","")&amp;IF(G18&lt;&gt;"","📐 "&amp;G18&amp;" sqft
","")&amp;IF(H18&lt;&gt;"","🏊 "&amp;SUBSTITUTE(SUBSTITUTE(SUBSTITUTE(SUBSTITUTE(SUBSTITUTE(SUBSTITUTE(SUBSTITUTE(SUBSTITUTE(SUBSTITUTE(SUBSTITUTE(H18,"游泳池","Kolam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","")&amp;IF(L18&lt;&gt;"","💰 Sewa Bulanan RM "&amp;TEXT(L18,"#,##0")&amp;"
","")&amp;"
Adakah masih tersedia? Terima kasih!","")</f>
        <v/>
      </c>
    </row>
    <row r="19" customFormat="false" ht="51.7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9"/>
      <c r="J19" s="29"/>
      <c r="K19" s="29"/>
      <c r="L19" s="28"/>
      <c r="M19" s="30"/>
      <c r="N19" s="31" t="str">
        <f aca="false">IFERROR(ifs(B19="🏢 Condo 公寓","fa-building",B19="🏠 Apartment 单位","fa-home",B19="🌿 即租即住","fa-home",B19="🌿 近国际学校","fa-school",B19="📌 商业旺铺","fa-store",B19="🌟 海景豪宅","fa-water-ladder",B19="📈 投资优选","fa-chart-line",B19="🏞️ 花园住宅","fa-tree",B19="🌟 2026全新地标","fa-drafting-compass",B19="📈 海外投资优选","fa-globe",B19="🌆 核心地段","fa-city",B19="🔥 限时优惠","fa-fire",B19="✅ 永久产权","fa-certificate",B19="🏅 高回报","fa-medal",B19="🏖️ 度假胜地","fa-umbrella-beach",B19="🏫 学区优选","fa-graduation-cap",B19="🛣️ 交通便利","fa-road",B19="🔑 即买即住","fa-key"),"fa-home")</f>
        <v>fa-home</v>
      </c>
      <c r="O19" s="31" t="str">
        <f aca="false">IF(D19&lt;&gt;"",D19,"")</f>
        <v/>
      </c>
      <c r="P19" s="31" t="str">
        <f aca="false">IF(D19&lt;&gt;"",SUBSTITUTE(SUBSTITUTE(SUBSTITUTE(SUBSTITUTE(SUBSTITUTE(SUBSTITUTE(SUBSTITUTE(SUBSTITUTE(SUBSTITUTE(SUBSTITUTE(D19,"亚庇","Kota Kinabalu"),"公寓","Condo"),"排屋","Terrace"),"别墅","Villa"),"店铺","Shop"),"新山","Johor Bahru"),"市中心","City Centre"),"高级","Premium"),"单位","Unit"),"住宅","Residence"),"")</f>
        <v/>
      </c>
      <c r="Q19" s="31" t="str">
        <f aca="false">IF(D19&lt;&gt;"",SUBSTITUTE(SUBSTITUTE(SUBSTITUTE(SUBSTITUTE(SUBSTITUTE(SUBSTITUTE(SUBSTITUTE(SUBSTITUTE(SUBSTITUTE(SUBSTITUTE(D19,"亚庇","Kota Kinabalu"),"公寓","Kondominium"),"排屋","Rumah Teres"),"别墅","Vila"),"店铺","Kedai"),"新山","Johor Bahru"),"市中心","Pusat Bandar"),"高级","Premium"),"单位","Unit"),"住宅","Kediaman"),"")</f>
        <v/>
      </c>
      <c r="R19" s="31" t="str">
        <f aca="false">IF(D19&lt;&gt;"","📍 "&amp;IF(E19&lt;&gt;"",E19&amp;"房","")&amp;IF(F19&lt;&gt;"",F19&amp;"卫 ","")&amp;IF(G19&lt;&gt;"",G19&amp;" sqft","")&amp;IF(AND(OR(E19&lt;&gt;"",G19&lt;&gt;""),H19&lt;&gt;"")," · ","")&amp;IF(H19&lt;&gt;"",H19,""),"")</f>
        <v/>
      </c>
      <c r="S19" s="31" t="str">
        <f aca="false">IF(D19&lt;&gt;"","📍 "&amp;IF(E19&lt;&gt;"",E19&amp;"BR ","")&amp;IF(F19&lt;&gt;"",F19&amp;"BA ","")&amp;IF(G19&lt;&gt;"",G19&amp;" sqft","")&amp;IF(AND(OR(E19&lt;&gt;"",G19&lt;&gt;""),H19&lt;&gt;"")," · ","")&amp;IF(H19&lt;&gt;"",SUBSTITUTE(SUBSTITUTE(SUBSTITUTE(SUBSTITUTE(SUBSTITUTE(SUBSTITUTE(SUBSTITUTE(SUBSTITUTE(SUBSTITUTE(SUBSTITUTE(H19,"游泳池","Swimming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9" s="31" t="str">
        <f aca="false">IF(D19&lt;&gt;"","📍 "&amp;IF(E19&lt;&gt;"",E19&amp;"Bilik ","")&amp;IF(F19&lt;&gt;"",F19&amp;"Bilik Air ","")&amp;IF(G19&lt;&gt;"",G19&amp;" sqft","")&amp;IF(AND(OR(E19&lt;&gt;"",G19&lt;&gt;""),H19&lt;&gt;"")," · ","")&amp;IF(H19&lt;&gt;"",SUBSTITUTE(SUBSTITUTE(SUBSTITUTE(SUBSTITUTE(SUBSTITUTE(SUBSTITUTE(SUBSTITUTE(SUBSTITUTE(SUBSTITUTE(SUBSTITUTE(H19,"游泳池","Kolam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9" s="32" t="str">
        <f aca="false">IF(OR(I19&lt;&gt;"",J19&lt;&gt;"",K19&lt;&gt;""),"🔒 "&amp;IF(I19&lt;&gt;"",I19,"")&amp;IF(AND(I19&lt;&gt;"",J19&lt;&gt;"")," · ","")&amp;IF(J19&lt;&gt;"",J19,"")&amp;IF(AND(OR(I19&lt;&gt;"",J19&lt;&gt;""),K19&lt;&gt;"")," · ","")&amp;IF(K19&lt;&gt;"",K19,""),"")</f>
        <v/>
      </c>
      <c r="V19" s="31" t="str">
        <f aca="false">IF(L19&lt;&gt;"","💰 月租 RM "&amp;TEXT(L19,"#,##0"),"")</f>
        <v/>
      </c>
      <c r="W19" s="31" t="str">
        <f aca="false">IF(L19&lt;&gt;"","💰 Monthly Rent RM "&amp;TEXT(L19,"#,##0"),"")</f>
        <v/>
      </c>
      <c r="X19" s="31" t="str">
        <f aca="false">IF(L19&lt;&gt;"","💰 Sewa Bulanan RM "&amp;TEXT(L19,"#,##0"),"")</f>
        <v/>
      </c>
      <c r="Y19" s="33" t="str">
        <f aca="false">IF(D19&lt;&gt;"","您好！我想咨询出租：
🏠 "&amp;D19&amp;"
"&amp;IF(E19&lt;&gt;"","🛏 "&amp;E19&amp;"房"&amp;IF(F19&lt;&gt;""," "&amp;F19&amp;"卫","")&amp;"
","")&amp;IF(G19&lt;&gt;"","📐 "&amp;G19&amp;" sqft
","")&amp;IF(H19&lt;&gt;"","🏊 "&amp;H19&amp;"
","")&amp;IF(U19&lt;&gt;"",U19&amp;"
","")&amp;IF(L19&lt;&gt;"","💰 月租 RM "&amp;TEXT(L19,"#,##0")&amp;"
","")&amp;"
请问还有空档吗？谢谢！","")</f>
        <v/>
      </c>
      <c r="Z19" s="33" t="str">
        <f aca="false">IF(D19&lt;&gt;"","Hi! I'd like to make a rental enquiry:
🏠 "&amp;P19&amp;"
"&amp;IF(E19&lt;&gt;"","🛏 "&amp;E19&amp;"BR"&amp;IF(F19&lt;&gt;""," "&amp;F19&amp;"BA","")&amp;"
","")&amp;IF(G19&lt;&gt;"","📐 "&amp;G19&amp;" sqft
","")&amp;IF(H19&lt;&gt;"","🏊 "&amp;SUBSTITUTE(SUBSTITUTE(SUBSTITUTE(SUBSTITUTE(SUBSTITUTE(SUBSTITUTE(SUBSTITUTE(SUBSTITUTE(SUBSTITUTE(SUBSTITUTE(H19,"游泳池","Swimming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","")&amp;IF(L19&lt;&gt;"","💰 Monthly Rent RM "&amp;TEXT(L19,"#,##0")&amp;"
","")&amp;"
Is this still available? Thank you!","")</f>
        <v/>
      </c>
      <c r="AA19" s="31"/>
      <c r="AB19" s="33" t="str">
        <f aca="false">IF(D19&lt;&gt;"","Helo! Saya ingin membuat pertanyaan sewa:
🏠 "&amp;Q19&amp;"
"&amp;IF(E19&lt;&gt;"","🛏 "&amp;E19&amp;"Bilik"&amp;IF(F19&lt;&gt;""," "&amp;F19&amp;"Bilik Air","")&amp;"
","")&amp;IF(G19&lt;&gt;"","📐 "&amp;G19&amp;" sqft
","")&amp;IF(H19&lt;&gt;"","🏊 "&amp;SUBSTITUTE(SUBSTITUTE(SUBSTITUTE(SUBSTITUTE(SUBSTITUTE(SUBSTITUTE(SUBSTITUTE(SUBSTITUTE(SUBSTITUTE(SUBSTITUTE(H19,"游泳池","Kolam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","")&amp;IF(L19&lt;&gt;"","💰 Sewa Bulanan RM "&amp;TEXT(L19,"#,##0")&amp;"
","")&amp;"
Adakah masih tersedia? Terima kasih!","")</f>
        <v/>
      </c>
    </row>
    <row r="20" customFormat="false" ht="5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9"/>
      <c r="J20" s="29"/>
      <c r="K20" s="29"/>
      <c r="L20" s="28"/>
      <c r="M20" s="30"/>
      <c r="N20" s="31" t="str">
        <f aca="false">IFERROR(ifs(B20="🏢 Condo 公寓","fa-building",B20="🏠 Apartment 单位","fa-home",B20="🌿 即租即住","fa-home",B20="🌿 近国际学校","fa-school",B20="📌 商业旺铺","fa-store",B20="🌟 海景豪宅","fa-water-ladder",B20="📈 投资优选","fa-chart-line",B20="🏞️ 花园住宅","fa-tree",B20="🌟 2026全新地标","fa-drafting-compass",B20="📈 海外投资优选","fa-globe",B20="🌆 核心地段","fa-city",B20="🔥 限时优惠","fa-fire",B20="✅ 永久产权","fa-certificate",B20="🏅 高回报","fa-medal",B20="🏖️ 度假胜地","fa-umbrella-beach",B20="🏫 学区优选","fa-graduation-cap",B20="🛣️ 交通便利","fa-road",B20="🔑 即买即住","fa-key"),"fa-home")</f>
        <v>fa-home</v>
      </c>
      <c r="O20" s="31" t="str">
        <f aca="false">IF(D20&lt;&gt;"",D20,"")</f>
        <v/>
      </c>
      <c r="P20" s="31" t="str">
        <f aca="false">IF(D20&lt;&gt;"",SUBSTITUTE(SUBSTITUTE(SUBSTITUTE(SUBSTITUTE(SUBSTITUTE(SUBSTITUTE(SUBSTITUTE(SUBSTITUTE(SUBSTITUTE(SUBSTITUTE(D20,"亚庇","Kota Kinabalu"),"公寓","Condo"),"排屋","Terrace"),"别墅","Villa"),"店铺","Shop"),"新山","Johor Bahru"),"市中心","City Centre"),"高级","Premium"),"单位","Unit"),"住宅","Residence"),"")</f>
        <v/>
      </c>
      <c r="Q20" s="31" t="str">
        <f aca="false">IF(D20&lt;&gt;"",SUBSTITUTE(SUBSTITUTE(SUBSTITUTE(SUBSTITUTE(SUBSTITUTE(SUBSTITUTE(SUBSTITUTE(SUBSTITUTE(SUBSTITUTE(SUBSTITUTE(D20,"亚庇","Kota Kinabalu"),"公寓","Kondominium"),"排屋","Rumah Teres"),"别墅","Vila"),"店铺","Kedai"),"新山","Johor Bahru"),"市中心","Pusat Bandar"),"高级","Premium"),"单位","Unit"),"住宅","Kediaman"),"")</f>
        <v/>
      </c>
      <c r="R20" s="31" t="str">
        <f aca="false">IF(D20&lt;&gt;"","📍 "&amp;IF(E20&lt;&gt;"",E20&amp;"房","")&amp;IF(F20&lt;&gt;"",F20&amp;"卫 ","")&amp;IF(G20&lt;&gt;"",G20&amp;" sqft","")&amp;IF(AND(OR(E20&lt;&gt;"",G20&lt;&gt;""),H20&lt;&gt;"")," · ","")&amp;IF(H20&lt;&gt;"",H20,""),"")</f>
        <v/>
      </c>
      <c r="S20" s="31" t="str">
        <f aca="false">IF(D20&lt;&gt;"","📍 "&amp;IF(E20&lt;&gt;"",E20&amp;"BR ","")&amp;IF(F20&lt;&gt;"",F20&amp;"BA ","")&amp;IF(G20&lt;&gt;"",G20&amp;" sqft","")&amp;IF(AND(OR(E20&lt;&gt;"",G20&lt;&gt;""),H20&lt;&gt;"")," · ","")&amp;IF(H20&lt;&gt;"",SUBSTITUTE(SUBSTITUTE(SUBSTITUTE(SUBSTITUTE(SUBSTITUTE(SUBSTITUTE(SUBSTITUTE(SUBSTITUTE(SUBSTITUTE(SUBSTITUTE(H20,"游泳池","Swimming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0" s="31" t="str">
        <f aca="false">IF(D20&lt;&gt;"","📍 "&amp;IF(E20&lt;&gt;"",E20&amp;"Bilik ","")&amp;IF(F20&lt;&gt;"",F20&amp;"Bilik Air ","")&amp;IF(G20&lt;&gt;"",G20&amp;" sqft","")&amp;IF(AND(OR(E20&lt;&gt;"",G20&lt;&gt;""),H20&lt;&gt;"")," · ","")&amp;IF(H20&lt;&gt;"",SUBSTITUTE(SUBSTITUTE(SUBSTITUTE(SUBSTITUTE(SUBSTITUTE(SUBSTITUTE(SUBSTITUTE(SUBSTITUTE(SUBSTITUTE(SUBSTITUTE(H20,"游泳池","Kolam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0" s="32" t="str">
        <f aca="false">IF(OR(I20&lt;&gt;"",J20&lt;&gt;"",K20&lt;&gt;""),"🔒 "&amp;IF(I20&lt;&gt;"",I20,"")&amp;IF(AND(I20&lt;&gt;"",J20&lt;&gt;"")," · ","")&amp;IF(J20&lt;&gt;"",J20,"")&amp;IF(AND(OR(I20&lt;&gt;"",J20&lt;&gt;""),K20&lt;&gt;"")," · ","")&amp;IF(K20&lt;&gt;"",K20,""),"")</f>
        <v/>
      </c>
      <c r="V20" s="31" t="str">
        <f aca="false">IF(L20&lt;&gt;"","💰 月租 RM "&amp;TEXT(L20,"#,##0"),"")</f>
        <v/>
      </c>
      <c r="W20" s="31" t="str">
        <f aca="false">IF(L20&lt;&gt;"","💰 Monthly Rent RM "&amp;TEXT(L20,"#,##0"),"")</f>
        <v/>
      </c>
      <c r="X20" s="31" t="str">
        <f aca="false">IF(L20&lt;&gt;"","💰 Sewa Bulanan RM "&amp;TEXT(L20,"#,##0"),"")</f>
        <v/>
      </c>
      <c r="Y20" s="33" t="str">
        <f aca="false">IF(D20&lt;&gt;"","您好！我想咨询出租：
🏠 "&amp;D20&amp;"
"&amp;IF(E20&lt;&gt;"","🛏 "&amp;E20&amp;"房"&amp;IF(F20&lt;&gt;""," "&amp;F20&amp;"卫","")&amp;"
","")&amp;IF(G20&lt;&gt;"","📐 "&amp;G20&amp;" sqft
","")&amp;IF(H20&lt;&gt;"","🏊 "&amp;H20&amp;"
","")&amp;IF(U20&lt;&gt;"",U20&amp;"
","")&amp;IF(L20&lt;&gt;"","💰 月租 RM "&amp;TEXT(L20,"#,##0")&amp;"
","")&amp;"
请问还有空档吗？谢谢！","")</f>
        <v/>
      </c>
      <c r="Z20" s="33" t="str">
        <f aca="false">IF(D20&lt;&gt;"","Hi! I'd like to make a rental enquiry:
🏠 "&amp;P20&amp;"
"&amp;IF(E20&lt;&gt;"","🛏 "&amp;E20&amp;"BR"&amp;IF(F20&lt;&gt;""," "&amp;F20&amp;"BA","")&amp;"
","")&amp;IF(G20&lt;&gt;"","📐 "&amp;G20&amp;" sqft
","")&amp;IF(H20&lt;&gt;"","🏊 "&amp;SUBSTITUTE(SUBSTITUTE(SUBSTITUTE(SUBSTITUTE(SUBSTITUTE(SUBSTITUTE(SUBSTITUTE(SUBSTITUTE(SUBSTITUTE(SUBSTITUTE(H20,"游泳池","Swimming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","")&amp;IF(L20&lt;&gt;"","💰 Monthly Rent RM "&amp;TEXT(L20,"#,##0")&amp;"
","")&amp;"
Is this still available? Thank you!","")</f>
        <v/>
      </c>
      <c r="AA20" s="31"/>
      <c r="AB20" s="33" t="str">
        <f aca="false">IF(D20&lt;&gt;"","Helo! Saya ingin membuat pertanyaan sewa:
🏠 "&amp;Q20&amp;"
"&amp;IF(E20&lt;&gt;"","🛏 "&amp;E20&amp;"Bilik"&amp;IF(F20&lt;&gt;""," "&amp;F20&amp;"Bilik Air","")&amp;"
","")&amp;IF(G20&lt;&gt;"","📐 "&amp;G20&amp;" sqft
","")&amp;IF(H20&lt;&gt;"","🏊 "&amp;SUBSTITUTE(SUBSTITUTE(SUBSTITUTE(SUBSTITUTE(SUBSTITUTE(SUBSTITUTE(SUBSTITUTE(SUBSTITUTE(SUBSTITUTE(SUBSTITUTE(H20,"游泳池","Kolam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","")&amp;IF(L20&lt;&gt;"","💰 Sewa Bulanan RM "&amp;TEXT(L20,"#,##0")&amp;"
","")&amp;"
Adakah masih tersedia? Terima kasih!","")</f>
        <v/>
      </c>
    </row>
    <row r="21" customFormat="false" ht="51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9"/>
      <c r="J21" s="29"/>
      <c r="K21" s="29"/>
      <c r="L21" s="28"/>
      <c r="M21" s="30"/>
      <c r="N21" s="31" t="str">
        <f aca="false">IFERROR(ifs(B21="🏢 Condo 公寓","fa-building",B21="🏠 Apartment 单位","fa-home",B21="🌿 即租即住","fa-home",B21="🌿 近国际学校","fa-school",B21="📌 商业旺铺","fa-store",B21="🌟 海景豪宅","fa-water-ladder",B21="📈 投资优选","fa-chart-line",B21="🏞️ 花园住宅","fa-tree",B21="🌟 2026全新地标","fa-drafting-compass",B21="📈 海外投资优选","fa-globe",B21="🌆 核心地段","fa-city",B21="🔥 限时优惠","fa-fire",B21="✅ 永久产权","fa-certificate",B21="🏅 高回报","fa-medal",B21="🏖️ 度假胜地","fa-umbrella-beach",B21="🏫 学区优选","fa-graduation-cap",B21="🛣️ 交通便利","fa-road",B21="🔑 即买即住","fa-key"),"fa-home")</f>
        <v>fa-home</v>
      </c>
      <c r="O21" s="31" t="str">
        <f aca="false">IF(D21&lt;&gt;"",D21,"")</f>
        <v/>
      </c>
      <c r="P21" s="31" t="str">
        <f aca="false">IF(D21&lt;&gt;"",SUBSTITUTE(SUBSTITUTE(SUBSTITUTE(SUBSTITUTE(SUBSTITUTE(SUBSTITUTE(SUBSTITUTE(SUBSTITUTE(SUBSTITUTE(SUBSTITUTE(D21,"亚庇","Kota Kinabalu"),"公寓","Condo"),"排屋","Terrace"),"别墅","Villa"),"店铺","Shop"),"新山","Johor Bahru"),"市中心","City Centre"),"高级","Premium"),"单位","Unit"),"住宅","Residence"),"")</f>
        <v/>
      </c>
      <c r="Q21" s="31" t="str">
        <f aca="false">IF(D21&lt;&gt;"",SUBSTITUTE(SUBSTITUTE(SUBSTITUTE(SUBSTITUTE(SUBSTITUTE(SUBSTITUTE(SUBSTITUTE(SUBSTITUTE(SUBSTITUTE(SUBSTITUTE(D21,"亚庇","Kota Kinabalu"),"公寓","Kondominium"),"排屋","Rumah Teres"),"别墅","Vila"),"店铺","Kedai"),"新山","Johor Bahru"),"市中心","Pusat Bandar"),"高级","Premium"),"单位","Unit"),"住宅","Kediaman"),"")</f>
        <v/>
      </c>
      <c r="R21" s="31" t="str">
        <f aca="false">IF(D21&lt;&gt;"","📍 "&amp;IF(E21&lt;&gt;"",E21&amp;"房","")&amp;IF(F21&lt;&gt;"",F21&amp;"卫 ","")&amp;IF(G21&lt;&gt;"",G21&amp;" sqft","")&amp;IF(AND(OR(E21&lt;&gt;"",G21&lt;&gt;""),H21&lt;&gt;"")," · ","")&amp;IF(H21&lt;&gt;"",H21,""),"")</f>
        <v/>
      </c>
      <c r="S21" s="31" t="str">
        <f aca="false">IF(D21&lt;&gt;"","📍 "&amp;IF(E21&lt;&gt;"",E21&amp;"BR ","")&amp;IF(F21&lt;&gt;"",F21&amp;"BA ","")&amp;IF(G21&lt;&gt;"",G21&amp;" sqft","")&amp;IF(AND(OR(E21&lt;&gt;"",G21&lt;&gt;""),H21&lt;&gt;"")," · ","")&amp;IF(H21&lt;&gt;"",SUBSTITUTE(SUBSTITUTE(SUBSTITUTE(SUBSTITUTE(SUBSTITUTE(SUBSTITUTE(SUBSTITUTE(SUBSTITUTE(SUBSTITUTE(SUBSTITUTE(H21,"游泳池","Swimming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1" s="31" t="str">
        <f aca="false">IF(D21&lt;&gt;"","📍 "&amp;IF(E21&lt;&gt;"",E21&amp;"Bilik ","")&amp;IF(F21&lt;&gt;"",F21&amp;"Bilik Air ","")&amp;IF(G21&lt;&gt;"",G21&amp;" sqft","")&amp;IF(AND(OR(E21&lt;&gt;"",G21&lt;&gt;""),H21&lt;&gt;"")," · ","")&amp;IF(H21&lt;&gt;"",SUBSTITUTE(SUBSTITUTE(SUBSTITUTE(SUBSTITUTE(SUBSTITUTE(SUBSTITUTE(SUBSTITUTE(SUBSTITUTE(SUBSTITUTE(SUBSTITUTE(H21,"游泳池","Kolam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1" s="32" t="str">
        <f aca="false">IF(OR(I21&lt;&gt;"",J21&lt;&gt;"",K21&lt;&gt;""),"🔒 "&amp;IF(I21&lt;&gt;"",I21,"")&amp;IF(AND(I21&lt;&gt;"",J21&lt;&gt;"")," · ","")&amp;IF(J21&lt;&gt;"",J21,"")&amp;IF(AND(OR(I21&lt;&gt;"",J21&lt;&gt;""),K21&lt;&gt;"")," · ","")&amp;IF(K21&lt;&gt;"",K21,""),"")</f>
        <v/>
      </c>
      <c r="V21" s="31" t="str">
        <f aca="false">IF(L21&lt;&gt;"","💰 月租 RM "&amp;TEXT(L21,"#,##0"),"")</f>
        <v/>
      </c>
      <c r="W21" s="31" t="str">
        <f aca="false">IF(L21&lt;&gt;"","💰 Monthly Rent RM "&amp;TEXT(L21,"#,##0"),"")</f>
        <v/>
      </c>
      <c r="X21" s="31" t="str">
        <f aca="false">IF(L21&lt;&gt;"","💰 Sewa Bulanan RM "&amp;TEXT(L21,"#,##0"),"")</f>
        <v/>
      </c>
      <c r="Y21" s="33" t="str">
        <f aca="false">IF(D21&lt;&gt;"","您好！我想咨询出租：
🏠 "&amp;D21&amp;"
"&amp;IF(E21&lt;&gt;"","🛏 "&amp;E21&amp;"房"&amp;IF(F21&lt;&gt;""," "&amp;F21&amp;"卫","")&amp;"
","")&amp;IF(G21&lt;&gt;"","📐 "&amp;G21&amp;" sqft
","")&amp;IF(H21&lt;&gt;"","🏊 "&amp;H21&amp;"
","")&amp;IF(U21&lt;&gt;"",U21&amp;"
","")&amp;IF(L21&lt;&gt;"","💰 月租 RM "&amp;TEXT(L21,"#,##0")&amp;"
","")&amp;"
请问还有空档吗？谢谢！","")</f>
        <v/>
      </c>
      <c r="Z21" s="33" t="str">
        <f aca="false">IF(D21&lt;&gt;"","Hi! I'd like to make a rental enquiry:
🏠 "&amp;P21&amp;"
"&amp;IF(E21&lt;&gt;"","🛏 "&amp;E21&amp;"BR"&amp;IF(F21&lt;&gt;""," "&amp;F21&amp;"BA","")&amp;"
","")&amp;IF(G21&lt;&gt;"","📐 "&amp;G21&amp;" sqft
","")&amp;IF(H21&lt;&gt;"","🏊 "&amp;SUBSTITUTE(SUBSTITUTE(SUBSTITUTE(SUBSTITUTE(SUBSTITUTE(SUBSTITUTE(SUBSTITUTE(SUBSTITUTE(SUBSTITUTE(SUBSTITUTE(H21,"游泳池","Swimming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","")&amp;IF(L21&lt;&gt;"","💰 Monthly Rent RM "&amp;TEXT(L21,"#,##0")&amp;"
","")&amp;"
Is this still available? Thank you!","")</f>
        <v/>
      </c>
      <c r="AA21" s="31"/>
      <c r="AB21" s="33" t="str">
        <f aca="false">IF(D21&lt;&gt;"","Helo! Saya ingin membuat pertanyaan sewa:
🏠 "&amp;Q21&amp;"
"&amp;IF(E21&lt;&gt;"","🛏 "&amp;E21&amp;"Bilik"&amp;IF(F21&lt;&gt;""," "&amp;F21&amp;"Bilik Air","")&amp;"
","")&amp;IF(G21&lt;&gt;"","📐 "&amp;G21&amp;" sqft
","")&amp;IF(H21&lt;&gt;"","🏊 "&amp;SUBSTITUTE(SUBSTITUTE(SUBSTITUTE(SUBSTITUTE(SUBSTITUTE(SUBSTITUTE(SUBSTITUTE(SUBSTITUTE(SUBSTITUTE(SUBSTITUTE(H21,"游泳池","Kolam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","")&amp;IF(L21&lt;&gt;"","💰 Sewa Bulanan RM "&amp;TEXT(L21,"#,##0")&amp;"
","")&amp;"
Adakah masih tersedia? Terima kasih!","")</f>
        <v/>
      </c>
    </row>
    <row r="22" customFormat="false" ht="5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9"/>
      <c r="J22" s="29"/>
      <c r="K22" s="29"/>
      <c r="L22" s="28"/>
      <c r="M22" s="30"/>
      <c r="N22" s="31" t="str">
        <f aca="false">IFERROR(ifs(B22="🏢 Condo 公寓","fa-building",B22="🏠 Apartment 单位","fa-home",B22="🌿 即租即住","fa-home",B22="🌿 近国际学校","fa-school",B22="📌 商业旺铺","fa-store",B22="🌟 海景豪宅","fa-water-ladder",B22="📈 投资优选","fa-chart-line",B22="🏞️ 花园住宅","fa-tree",B22="🌟 2026全新地标","fa-drafting-compass",B22="📈 海外投资优选","fa-globe",B22="🌆 核心地段","fa-city",B22="🔥 限时优惠","fa-fire",B22="✅ 永久产权","fa-certificate",B22="🏅 高回报","fa-medal",B22="🏖️ 度假胜地","fa-umbrella-beach",B22="🏫 学区优选","fa-graduation-cap",B22="🛣️ 交通便利","fa-road",B22="🔑 即买即住","fa-key"),"fa-home")</f>
        <v>fa-home</v>
      </c>
      <c r="O22" s="31" t="str">
        <f aca="false">IF(D22&lt;&gt;"",D22,"")</f>
        <v/>
      </c>
      <c r="P22" s="31" t="str">
        <f aca="false">IF(D22&lt;&gt;"",SUBSTITUTE(SUBSTITUTE(SUBSTITUTE(SUBSTITUTE(SUBSTITUTE(SUBSTITUTE(SUBSTITUTE(SUBSTITUTE(SUBSTITUTE(SUBSTITUTE(D22,"亚庇","Kota Kinabalu"),"公寓","Condo"),"排屋","Terrace"),"别墅","Villa"),"店铺","Shop"),"新山","Johor Bahru"),"市中心","City Centre"),"高级","Premium"),"单位","Unit"),"住宅","Residence"),"")</f>
        <v/>
      </c>
      <c r="Q22" s="31" t="str">
        <f aca="false">IF(D22&lt;&gt;"",SUBSTITUTE(SUBSTITUTE(SUBSTITUTE(SUBSTITUTE(SUBSTITUTE(SUBSTITUTE(SUBSTITUTE(SUBSTITUTE(SUBSTITUTE(SUBSTITUTE(D22,"亚庇","Kota Kinabalu"),"公寓","Kondominium"),"排屋","Rumah Teres"),"别墅","Vila"),"店铺","Kedai"),"新山","Johor Bahru"),"市中心","Pusat Bandar"),"高级","Premium"),"单位","Unit"),"住宅","Kediaman"),"")</f>
        <v/>
      </c>
      <c r="R22" s="31" t="str">
        <f aca="false">IF(D22&lt;&gt;"","📍 "&amp;IF(E22&lt;&gt;"",E22&amp;"房","")&amp;IF(F22&lt;&gt;"",F22&amp;"卫 ","")&amp;IF(G22&lt;&gt;"",G22&amp;" sqft","")&amp;IF(AND(OR(E22&lt;&gt;"",G22&lt;&gt;""),H22&lt;&gt;"")," · ","")&amp;IF(H22&lt;&gt;"",H22,""),"")</f>
        <v/>
      </c>
      <c r="S22" s="31" t="str">
        <f aca="false">IF(D22&lt;&gt;"","📍 "&amp;IF(E22&lt;&gt;"",E22&amp;"BR ","")&amp;IF(F22&lt;&gt;"",F22&amp;"BA ","")&amp;IF(G22&lt;&gt;"",G22&amp;" sqft","")&amp;IF(AND(OR(E22&lt;&gt;"",G22&lt;&gt;""),H22&lt;&gt;"")," · ","")&amp;IF(H22&lt;&gt;"",SUBSTITUTE(SUBSTITUTE(SUBSTITUTE(SUBSTITUTE(SUBSTITUTE(SUBSTITUTE(SUBSTITUTE(SUBSTITUTE(SUBSTITUTE(SUBSTITUTE(H22,"游泳池","Swimming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2" s="31" t="str">
        <f aca="false">IF(D22&lt;&gt;"","📍 "&amp;IF(E22&lt;&gt;"",E22&amp;"Bilik ","")&amp;IF(F22&lt;&gt;"",F22&amp;"Bilik Air ","")&amp;IF(G22&lt;&gt;"",G22&amp;" sqft","")&amp;IF(AND(OR(E22&lt;&gt;"",G22&lt;&gt;""),H22&lt;&gt;"")," · ","")&amp;IF(H22&lt;&gt;"",SUBSTITUTE(SUBSTITUTE(SUBSTITUTE(SUBSTITUTE(SUBSTITUTE(SUBSTITUTE(SUBSTITUTE(SUBSTITUTE(SUBSTITUTE(SUBSTITUTE(H22,"游泳池","Kolam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2" s="32" t="str">
        <f aca="false">IF(OR(I22&lt;&gt;"",J22&lt;&gt;"",K22&lt;&gt;""),"🔒 "&amp;IF(I22&lt;&gt;"",I22,"")&amp;IF(AND(I22&lt;&gt;"",J22&lt;&gt;"")," · ","")&amp;IF(J22&lt;&gt;"",J22,"")&amp;IF(AND(OR(I22&lt;&gt;"",J22&lt;&gt;""),K22&lt;&gt;"")," · ","")&amp;IF(K22&lt;&gt;"",K22,""),"")</f>
        <v/>
      </c>
      <c r="V22" s="31" t="str">
        <f aca="false">IF(L22&lt;&gt;"","💰 月租 RM "&amp;TEXT(L22,"#,##0"),"")</f>
        <v/>
      </c>
      <c r="W22" s="31" t="str">
        <f aca="false">IF(L22&lt;&gt;"","💰 Monthly Rent RM "&amp;TEXT(L22,"#,##0"),"")</f>
        <v/>
      </c>
      <c r="X22" s="31" t="str">
        <f aca="false">IF(L22&lt;&gt;"","💰 Sewa Bulanan RM "&amp;TEXT(L22,"#,##0"),"")</f>
        <v/>
      </c>
      <c r="Y22" s="33" t="str">
        <f aca="false">IF(D22&lt;&gt;"","您好！我想咨询出租：
🏠 "&amp;D22&amp;"
"&amp;IF(E22&lt;&gt;"","🛏 "&amp;E22&amp;"房"&amp;IF(F22&lt;&gt;""," "&amp;F22&amp;"卫","")&amp;"
","")&amp;IF(G22&lt;&gt;"","📐 "&amp;G22&amp;" sqft
","")&amp;IF(H22&lt;&gt;"","🏊 "&amp;H22&amp;"
","")&amp;IF(U22&lt;&gt;"",U22&amp;"
","")&amp;IF(L22&lt;&gt;"","💰 月租 RM "&amp;TEXT(L22,"#,##0")&amp;"
","")&amp;"
请问还有空档吗？谢谢！","")</f>
        <v/>
      </c>
      <c r="Z22" s="33" t="str">
        <f aca="false">IF(D22&lt;&gt;"","Hi! I'd like to make a rental enquiry:
🏠 "&amp;P22&amp;"
"&amp;IF(E22&lt;&gt;"","🛏 "&amp;E22&amp;"BR"&amp;IF(F22&lt;&gt;""," "&amp;F22&amp;"BA","")&amp;"
","")&amp;IF(G22&lt;&gt;"","📐 "&amp;G22&amp;" sqft
","")&amp;IF(H22&lt;&gt;"","🏊 "&amp;SUBSTITUTE(SUBSTITUTE(SUBSTITUTE(SUBSTITUTE(SUBSTITUTE(SUBSTITUTE(SUBSTITUTE(SUBSTITUTE(SUBSTITUTE(SUBSTITUTE(H22,"游泳池","Swimming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","")&amp;IF(L22&lt;&gt;"","💰 Monthly Rent RM "&amp;TEXT(L22,"#,##0")&amp;"
","")&amp;"
Is this still available? Thank you!","")</f>
        <v/>
      </c>
      <c r="AA22" s="31"/>
      <c r="AB22" s="33" t="str">
        <f aca="false">IF(D22&lt;&gt;"","Helo! Saya ingin membuat pertanyaan sewa:
🏠 "&amp;Q22&amp;"
"&amp;IF(E22&lt;&gt;"","🛏 "&amp;E22&amp;"Bilik"&amp;IF(F22&lt;&gt;""," "&amp;F22&amp;"Bilik Air","")&amp;"
","")&amp;IF(G22&lt;&gt;"","📐 "&amp;G22&amp;" sqft
","")&amp;IF(H22&lt;&gt;"","🏊 "&amp;SUBSTITUTE(SUBSTITUTE(SUBSTITUTE(SUBSTITUTE(SUBSTITUTE(SUBSTITUTE(SUBSTITUTE(SUBSTITUTE(SUBSTITUTE(SUBSTITUTE(H22,"游泳池","Kolam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","")&amp;IF(L22&lt;&gt;"","💰 Sewa Bulanan RM "&amp;TEXT(L22,"#,##0")&amp;"
","")&amp;"
Adakah masih tersedia? Terima kasih!","")</f>
        <v/>
      </c>
    </row>
    <row r="23" customFormat="false" ht="51.7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9"/>
      <c r="J23" s="29"/>
      <c r="K23" s="29"/>
      <c r="L23" s="28"/>
      <c r="M23" s="30"/>
      <c r="N23" s="31" t="str">
        <f aca="false">IFERROR(ifs(B23="🏢 Condo 公寓","fa-building",B23="🏠 Apartment 单位","fa-home",B23="🌿 即租即住","fa-home",B23="🌿 近国际学校","fa-school",B23="📌 商业旺铺","fa-store",B23="🌟 海景豪宅","fa-water-ladder",B23="📈 投资优选","fa-chart-line",B23="🏞️ 花园住宅","fa-tree",B23="🌟 2026全新地标","fa-drafting-compass",B23="📈 海外投资优选","fa-globe",B23="🌆 核心地段","fa-city",B23="🔥 限时优惠","fa-fire",B23="✅ 永久产权","fa-certificate",B23="🏅 高回报","fa-medal",B23="🏖️ 度假胜地","fa-umbrella-beach",B23="🏫 学区优选","fa-graduation-cap",B23="🛣️ 交通便利","fa-road",B23="🔑 即买即住","fa-key"),"fa-home")</f>
        <v>fa-home</v>
      </c>
      <c r="O23" s="31" t="str">
        <f aca="false">IF(D23&lt;&gt;"",D23,"")</f>
        <v/>
      </c>
      <c r="P23" s="31" t="str">
        <f aca="false">IF(D23&lt;&gt;"",SUBSTITUTE(SUBSTITUTE(SUBSTITUTE(SUBSTITUTE(SUBSTITUTE(SUBSTITUTE(SUBSTITUTE(SUBSTITUTE(SUBSTITUTE(SUBSTITUTE(D23,"亚庇","Kota Kinabalu"),"公寓","Condo"),"排屋","Terrace"),"别墅","Villa"),"店铺","Shop"),"新山","Johor Bahru"),"市中心","City Centre"),"高级","Premium"),"单位","Unit"),"住宅","Residence"),"")</f>
        <v/>
      </c>
      <c r="Q23" s="31" t="str">
        <f aca="false">IF(D23&lt;&gt;"",SUBSTITUTE(SUBSTITUTE(SUBSTITUTE(SUBSTITUTE(SUBSTITUTE(SUBSTITUTE(SUBSTITUTE(SUBSTITUTE(SUBSTITUTE(SUBSTITUTE(D23,"亚庇","Kota Kinabalu"),"公寓","Kondominium"),"排屋","Rumah Teres"),"别墅","Vila"),"店铺","Kedai"),"新山","Johor Bahru"),"市中心","Pusat Bandar"),"高级","Premium"),"单位","Unit"),"住宅","Kediaman"),"")</f>
        <v/>
      </c>
      <c r="R23" s="31" t="str">
        <f aca="false">IF(D23&lt;&gt;"","📍 "&amp;IF(E23&lt;&gt;"",E23&amp;"房","")&amp;IF(F23&lt;&gt;"",F23&amp;"卫 ","")&amp;IF(G23&lt;&gt;"",G23&amp;" sqft","")&amp;IF(AND(OR(E23&lt;&gt;"",G23&lt;&gt;""),H23&lt;&gt;"")," · ","")&amp;IF(H23&lt;&gt;"",H23,""),"")</f>
        <v/>
      </c>
      <c r="S23" s="31" t="str">
        <f aca="false">IF(D23&lt;&gt;"","📍 "&amp;IF(E23&lt;&gt;"",E23&amp;"BR ","")&amp;IF(F23&lt;&gt;"",F23&amp;"BA ","")&amp;IF(G23&lt;&gt;"",G23&amp;" sqft","")&amp;IF(AND(OR(E23&lt;&gt;"",G23&lt;&gt;""),H23&lt;&gt;"")," · ","")&amp;IF(H23&lt;&gt;"",SUBSTITUTE(SUBSTITUTE(SUBSTITUTE(SUBSTITUTE(SUBSTITUTE(SUBSTITUTE(SUBSTITUTE(SUBSTITUTE(SUBSTITUTE(SUBSTITUTE(H23,"游泳池","Swimming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3" s="31" t="str">
        <f aca="false">IF(D23&lt;&gt;"","📍 "&amp;IF(E23&lt;&gt;"",E23&amp;"Bilik ","")&amp;IF(F23&lt;&gt;"",F23&amp;"Bilik Air ","")&amp;IF(G23&lt;&gt;"",G23&amp;" sqft","")&amp;IF(AND(OR(E23&lt;&gt;"",G23&lt;&gt;""),H23&lt;&gt;"")," · ","")&amp;IF(H23&lt;&gt;"",SUBSTITUTE(SUBSTITUTE(SUBSTITUTE(SUBSTITUTE(SUBSTITUTE(SUBSTITUTE(SUBSTITUTE(SUBSTITUTE(SUBSTITUTE(SUBSTITUTE(H23,"游泳池","Kolam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3" s="32" t="str">
        <f aca="false">IF(OR(I23&lt;&gt;"",J23&lt;&gt;"",K23&lt;&gt;""),"🔒 "&amp;IF(I23&lt;&gt;"",I23,"")&amp;IF(AND(I23&lt;&gt;"",J23&lt;&gt;"")," · ","")&amp;IF(J23&lt;&gt;"",J23,"")&amp;IF(AND(OR(I23&lt;&gt;"",J23&lt;&gt;""),K23&lt;&gt;"")," · ","")&amp;IF(K23&lt;&gt;"",K23,""),"")</f>
        <v/>
      </c>
      <c r="V23" s="31" t="str">
        <f aca="false">IF(L23&lt;&gt;"","💰 月租 RM "&amp;TEXT(L23,"#,##0"),"")</f>
        <v/>
      </c>
      <c r="W23" s="31" t="str">
        <f aca="false">IF(L23&lt;&gt;"","💰 Monthly Rent RM "&amp;TEXT(L23,"#,##0"),"")</f>
        <v/>
      </c>
      <c r="X23" s="31" t="str">
        <f aca="false">IF(L23&lt;&gt;"","💰 Sewa Bulanan RM "&amp;TEXT(L23,"#,##0"),"")</f>
        <v/>
      </c>
      <c r="Y23" s="33" t="str">
        <f aca="false">IF(D23&lt;&gt;"","您好！我想咨询出租：
🏠 "&amp;D23&amp;"
"&amp;IF(E23&lt;&gt;"","🛏 "&amp;E23&amp;"房"&amp;IF(F23&lt;&gt;""," "&amp;F23&amp;"卫","")&amp;"
","")&amp;IF(G23&lt;&gt;"","📐 "&amp;G23&amp;" sqft
","")&amp;IF(H23&lt;&gt;"","🏊 "&amp;H23&amp;"
","")&amp;IF(U23&lt;&gt;"",U23&amp;"
","")&amp;IF(L23&lt;&gt;"","💰 月租 RM "&amp;TEXT(L23,"#,##0")&amp;"
","")&amp;"
请问还有空档吗？谢谢！","")</f>
        <v/>
      </c>
      <c r="Z23" s="33" t="str">
        <f aca="false">IF(D23&lt;&gt;"","Hi! I'd like to make a rental enquiry:
🏠 "&amp;P23&amp;"
"&amp;IF(E23&lt;&gt;"","🛏 "&amp;E23&amp;"BR"&amp;IF(F23&lt;&gt;""," "&amp;F23&amp;"BA","")&amp;"
","")&amp;IF(G23&lt;&gt;"","📐 "&amp;G23&amp;" sqft
","")&amp;IF(H23&lt;&gt;"","🏊 "&amp;SUBSTITUTE(SUBSTITUTE(SUBSTITUTE(SUBSTITUTE(SUBSTITUTE(SUBSTITUTE(SUBSTITUTE(SUBSTITUTE(SUBSTITUTE(SUBSTITUTE(H23,"游泳池","Swimming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","")&amp;IF(L23&lt;&gt;"","💰 Monthly Rent RM "&amp;TEXT(L23,"#,##0")&amp;"
","")&amp;"
Is this still available? Thank you!","")</f>
        <v/>
      </c>
      <c r="AA23" s="31"/>
      <c r="AB23" s="33" t="str">
        <f aca="false">IF(D23&lt;&gt;"","Helo! Saya ingin membuat pertanyaan sewa:
🏠 "&amp;Q23&amp;"
"&amp;IF(E23&lt;&gt;"","🛏 "&amp;E23&amp;"Bilik"&amp;IF(F23&lt;&gt;""," "&amp;F23&amp;"Bilik Air","")&amp;"
","")&amp;IF(G23&lt;&gt;"","📐 "&amp;G23&amp;" sqft
","")&amp;IF(H23&lt;&gt;"","🏊 "&amp;SUBSTITUTE(SUBSTITUTE(SUBSTITUTE(SUBSTITUTE(SUBSTITUTE(SUBSTITUTE(SUBSTITUTE(SUBSTITUTE(SUBSTITUTE(SUBSTITUTE(H23,"游泳池","Kolam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","")&amp;IF(L23&lt;&gt;"","💰 Sewa Bulanan RM "&amp;TEXT(L23,"#,##0")&amp;"
","")&amp;"
Adakah masih tersedia? Terima kasih!","")</f>
        <v/>
      </c>
    </row>
    <row r="24" customFormat="false" ht="5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9"/>
      <c r="J24" s="29"/>
      <c r="K24" s="29"/>
      <c r="L24" s="28"/>
      <c r="M24" s="30"/>
      <c r="N24" s="31" t="str">
        <f aca="false">IFERROR(ifs(B24="🏢 Condo 公寓","fa-building",B24="🏠 Apartment 单位","fa-home",B24="🌿 即租即住","fa-home",B24="🌿 近国际学校","fa-school",B24="📌 商业旺铺","fa-store",B24="🌟 海景豪宅","fa-water-ladder",B24="📈 投资优选","fa-chart-line",B24="🏞️ 花园住宅","fa-tree",B24="🌟 2026全新地标","fa-drafting-compass",B24="📈 海外投资优选","fa-globe",B24="🌆 核心地段","fa-city",B24="🔥 限时优惠","fa-fire",B24="✅ 永久产权","fa-certificate",B24="🏅 高回报","fa-medal",B24="🏖️ 度假胜地","fa-umbrella-beach",B24="🏫 学区优选","fa-graduation-cap",B24="🛣️ 交通便利","fa-road",B24="🔑 即买即住","fa-key"),"fa-home")</f>
        <v>fa-home</v>
      </c>
      <c r="O24" s="31" t="str">
        <f aca="false">IF(D24&lt;&gt;"",D24,"")</f>
        <v/>
      </c>
      <c r="P24" s="31" t="str">
        <f aca="false">IF(D24&lt;&gt;"",SUBSTITUTE(SUBSTITUTE(SUBSTITUTE(SUBSTITUTE(SUBSTITUTE(SUBSTITUTE(SUBSTITUTE(SUBSTITUTE(SUBSTITUTE(SUBSTITUTE(D24,"亚庇","Kota Kinabalu"),"公寓","Condo"),"排屋","Terrace"),"别墅","Villa"),"店铺","Shop"),"新山","Johor Bahru"),"市中心","City Centre"),"高级","Premium"),"单位","Unit"),"住宅","Residence"),"")</f>
        <v/>
      </c>
      <c r="Q24" s="31" t="str">
        <f aca="false">IF(D24&lt;&gt;"",SUBSTITUTE(SUBSTITUTE(SUBSTITUTE(SUBSTITUTE(SUBSTITUTE(SUBSTITUTE(SUBSTITUTE(SUBSTITUTE(SUBSTITUTE(SUBSTITUTE(D24,"亚庇","Kota Kinabalu"),"公寓","Kondominium"),"排屋","Rumah Teres"),"别墅","Vila"),"店铺","Kedai"),"新山","Johor Bahru"),"市中心","Pusat Bandar"),"高级","Premium"),"单位","Unit"),"住宅","Kediaman"),"")</f>
        <v/>
      </c>
      <c r="R24" s="31" t="str">
        <f aca="false">IF(D24&lt;&gt;"","📍 "&amp;IF(E24&lt;&gt;"",E24&amp;"房","")&amp;IF(F24&lt;&gt;"",F24&amp;"卫 ","")&amp;IF(G24&lt;&gt;"",G24&amp;" sqft","")&amp;IF(AND(OR(E24&lt;&gt;"",G24&lt;&gt;""),H24&lt;&gt;"")," · ","")&amp;IF(H24&lt;&gt;"",H24,""),"")</f>
        <v/>
      </c>
      <c r="S24" s="31" t="str">
        <f aca="false">IF(D24&lt;&gt;"","📍 "&amp;IF(E24&lt;&gt;"",E24&amp;"BR ","")&amp;IF(F24&lt;&gt;"",F24&amp;"BA ","")&amp;IF(G24&lt;&gt;"",G24&amp;" sqft","")&amp;IF(AND(OR(E24&lt;&gt;"",G24&lt;&gt;""),H24&lt;&gt;"")," · ","")&amp;IF(H24&lt;&gt;"",SUBSTITUTE(SUBSTITUTE(SUBSTITUTE(SUBSTITUTE(SUBSTITUTE(SUBSTITUTE(SUBSTITUTE(SUBSTITUTE(SUBSTITUTE(SUBSTITUTE(H24,"游泳池","Swimming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4" s="31" t="str">
        <f aca="false">IF(D24&lt;&gt;"","📍 "&amp;IF(E24&lt;&gt;"",E24&amp;"Bilik ","")&amp;IF(F24&lt;&gt;"",F24&amp;"Bilik Air ","")&amp;IF(G24&lt;&gt;"",G24&amp;" sqft","")&amp;IF(AND(OR(E24&lt;&gt;"",G24&lt;&gt;""),H24&lt;&gt;"")," · ","")&amp;IF(H24&lt;&gt;"",SUBSTITUTE(SUBSTITUTE(SUBSTITUTE(SUBSTITUTE(SUBSTITUTE(SUBSTITUTE(SUBSTITUTE(SUBSTITUTE(SUBSTITUTE(SUBSTITUTE(H24,"游泳池","Kolam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4" s="32" t="str">
        <f aca="false">IF(OR(I24&lt;&gt;"",J24&lt;&gt;"",K24&lt;&gt;""),"🔒 "&amp;IF(I24&lt;&gt;"",I24,"")&amp;IF(AND(I24&lt;&gt;"",J24&lt;&gt;"")," · ","")&amp;IF(J24&lt;&gt;"",J24,"")&amp;IF(AND(OR(I24&lt;&gt;"",J24&lt;&gt;""),K24&lt;&gt;"")," · ","")&amp;IF(K24&lt;&gt;"",K24,""),"")</f>
        <v/>
      </c>
      <c r="V24" s="31" t="str">
        <f aca="false">IF(L24&lt;&gt;"","💰 月租 RM "&amp;TEXT(L24,"#,##0"),"")</f>
        <v/>
      </c>
      <c r="W24" s="31" t="str">
        <f aca="false">IF(L24&lt;&gt;"","💰 Monthly Rent RM "&amp;TEXT(L24,"#,##0"),"")</f>
        <v/>
      </c>
      <c r="X24" s="31" t="str">
        <f aca="false">IF(L24&lt;&gt;"","💰 Sewa Bulanan RM "&amp;TEXT(L24,"#,##0"),"")</f>
        <v/>
      </c>
      <c r="Y24" s="33" t="str">
        <f aca="false">IF(D24&lt;&gt;"","您好！我想咨询出租：
🏠 "&amp;D24&amp;"
"&amp;IF(E24&lt;&gt;"","🛏 "&amp;E24&amp;"房"&amp;IF(F24&lt;&gt;""," "&amp;F24&amp;"卫","")&amp;"
","")&amp;IF(G24&lt;&gt;"","📐 "&amp;G24&amp;" sqft
","")&amp;IF(H24&lt;&gt;"","🏊 "&amp;H24&amp;"
","")&amp;IF(U24&lt;&gt;"",U24&amp;"
","")&amp;IF(L24&lt;&gt;"","💰 月租 RM "&amp;TEXT(L24,"#,##0")&amp;"
","")&amp;"
请问还有空档吗？谢谢！","")</f>
        <v/>
      </c>
      <c r="Z24" s="33" t="str">
        <f aca="false">IF(D24&lt;&gt;"","Hi! I'd like to make a rental enquiry:
🏠 "&amp;P24&amp;"
"&amp;IF(E24&lt;&gt;"","🛏 "&amp;E24&amp;"BR"&amp;IF(F24&lt;&gt;""," "&amp;F24&amp;"BA","")&amp;"
","")&amp;IF(G24&lt;&gt;"","📐 "&amp;G24&amp;" sqft
","")&amp;IF(H24&lt;&gt;"","🏊 "&amp;SUBSTITUTE(SUBSTITUTE(SUBSTITUTE(SUBSTITUTE(SUBSTITUTE(SUBSTITUTE(SUBSTITUTE(SUBSTITUTE(SUBSTITUTE(SUBSTITUTE(H24,"游泳池","Swimming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","")&amp;IF(L24&lt;&gt;"","💰 Monthly Rent RM "&amp;TEXT(L24,"#,##0")&amp;"
","")&amp;"
Is this still available? Thank you!","")</f>
        <v/>
      </c>
      <c r="AA24" s="31"/>
      <c r="AB24" s="33" t="str">
        <f aca="false">IF(D24&lt;&gt;"","Helo! Saya ingin membuat pertanyaan sewa:
🏠 "&amp;Q24&amp;"
"&amp;IF(E24&lt;&gt;"","🛏 "&amp;E24&amp;"Bilik"&amp;IF(F24&lt;&gt;""," "&amp;F24&amp;"Bilik Air","")&amp;"
","")&amp;IF(G24&lt;&gt;"","📐 "&amp;G24&amp;" sqft
","")&amp;IF(H24&lt;&gt;"","🏊 "&amp;SUBSTITUTE(SUBSTITUTE(SUBSTITUTE(SUBSTITUTE(SUBSTITUTE(SUBSTITUTE(SUBSTITUTE(SUBSTITUTE(SUBSTITUTE(SUBSTITUTE(H24,"游泳池","Kolam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","")&amp;IF(L24&lt;&gt;"","💰 Sewa Bulanan RM "&amp;TEXT(L24,"#,##0")&amp;"
","")&amp;"
Adakah masih tersedia? Terima kasih!","")</f>
        <v/>
      </c>
    </row>
    <row r="25" customFormat="false" ht="51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9"/>
      <c r="J25" s="29"/>
      <c r="K25" s="29"/>
      <c r="L25" s="28"/>
      <c r="M25" s="30"/>
      <c r="N25" s="31" t="str">
        <f aca="false">IFERROR(ifs(B25="🏢 Condo 公寓","fa-building",B25="🏠 Apartment 单位","fa-home",B25="🌿 即租即住","fa-home",B25="🌿 近国际学校","fa-school",B25="📌 商业旺铺","fa-store",B25="🌟 海景豪宅","fa-water-ladder",B25="📈 投资优选","fa-chart-line",B25="🏞️ 花园住宅","fa-tree",B25="🌟 2026全新地标","fa-drafting-compass",B25="📈 海外投资优选","fa-globe",B25="🌆 核心地段","fa-city",B25="🔥 限时优惠","fa-fire",B25="✅ 永久产权","fa-certificate",B25="🏅 高回报","fa-medal",B25="🏖️ 度假胜地","fa-umbrella-beach",B25="🏫 学区优选","fa-graduation-cap",B25="🛣️ 交通便利","fa-road",B25="🔑 即买即住","fa-key"),"fa-home")</f>
        <v>fa-home</v>
      </c>
      <c r="O25" s="31" t="str">
        <f aca="false">IF(D25&lt;&gt;"",D25,"")</f>
        <v/>
      </c>
      <c r="P25" s="31" t="str">
        <f aca="false">IF(D25&lt;&gt;"",SUBSTITUTE(SUBSTITUTE(SUBSTITUTE(SUBSTITUTE(SUBSTITUTE(SUBSTITUTE(SUBSTITUTE(SUBSTITUTE(SUBSTITUTE(SUBSTITUTE(D25,"亚庇","Kota Kinabalu"),"公寓","Condo"),"排屋","Terrace"),"别墅","Villa"),"店铺","Shop"),"新山","Johor Bahru"),"市中心","City Centre"),"高级","Premium"),"单位","Unit"),"住宅","Residence"),"")</f>
        <v/>
      </c>
      <c r="Q25" s="31" t="str">
        <f aca="false">IF(D25&lt;&gt;"",SUBSTITUTE(SUBSTITUTE(SUBSTITUTE(SUBSTITUTE(SUBSTITUTE(SUBSTITUTE(SUBSTITUTE(SUBSTITUTE(SUBSTITUTE(SUBSTITUTE(D25,"亚庇","Kota Kinabalu"),"公寓","Kondominium"),"排屋","Rumah Teres"),"别墅","Vila"),"店铺","Kedai"),"新山","Johor Bahru"),"市中心","Pusat Bandar"),"高级","Premium"),"单位","Unit"),"住宅","Kediaman"),"")</f>
        <v/>
      </c>
      <c r="R25" s="31" t="str">
        <f aca="false">IF(D25&lt;&gt;"","📍 "&amp;IF(E25&lt;&gt;"",E25&amp;"房","")&amp;IF(F25&lt;&gt;"",F25&amp;"卫 ","")&amp;IF(G25&lt;&gt;"",G25&amp;" sqft","")&amp;IF(AND(OR(E25&lt;&gt;"",G25&lt;&gt;""),H25&lt;&gt;"")," · ","")&amp;IF(H25&lt;&gt;"",H25,""),"")</f>
        <v/>
      </c>
      <c r="S25" s="31" t="str">
        <f aca="false">IF(D25&lt;&gt;"","📍 "&amp;IF(E25&lt;&gt;"",E25&amp;"BR ","")&amp;IF(F25&lt;&gt;"",F25&amp;"BA ","")&amp;IF(G25&lt;&gt;"",G25&amp;" sqft","")&amp;IF(AND(OR(E25&lt;&gt;"",G25&lt;&gt;""),H25&lt;&gt;"")," · ","")&amp;IF(H25&lt;&gt;"",SUBSTITUTE(SUBSTITUTE(SUBSTITUTE(SUBSTITUTE(SUBSTITUTE(SUBSTITUTE(SUBSTITUTE(SUBSTITUTE(SUBSTITUTE(SUBSTITUTE(H25,"游泳池","Swimming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5" s="31" t="str">
        <f aca="false">IF(D25&lt;&gt;"","📍 "&amp;IF(E25&lt;&gt;"",E25&amp;"Bilik ","")&amp;IF(F25&lt;&gt;"",F25&amp;"Bilik Air ","")&amp;IF(G25&lt;&gt;"",G25&amp;" sqft","")&amp;IF(AND(OR(E25&lt;&gt;"",G25&lt;&gt;""),H25&lt;&gt;"")," · ","")&amp;IF(H25&lt;&gt;"",SUBSTITUTE(SUBSTITUTE(SUBSTITUTE(SUBSTITUTE(SUBSTITUTE(SUBSTITUTE(SUBSTITUTE(SUBSTITUTE(SUBSTITUTE(SUBSTITUTE(H25,"游泳池","Kolam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5" s="32" t="str">
        <f aca="false">IF(OR(I25&lt;&gt;"",J25&lt;&gt;"",K25&lt;&gt;""),"🔒 "&amp;IF(I25&lt;&gt;"",I25,"")&amp;IF(AND(I25&lt;&gt;"",J25&lt;&gt;"")," · ","")&amp;IF(J25&lt;&gt;"",J25,"")&amp;IF(AND(OR(I25&lt;&gt;"",J25&lt;&gt;""),K25&lt;&gt;"")," · ","")&amp;IF(K25&lt;&gt;"",K25,""),"")</f>
        <v/>
      </c>
      <c r="V25" s="31" t="str">
        <f aca="false">IF(L25&lt;&gt;"","💰 月租 RM "&amp;TEXT(L25,"#,##0"),"")</f>
        <v/>
      </c>
      <c r="W25" s="31" t="str">
        <f aca="false">IF(L25&lt;&gt;"","💰 Monthly Rent RM "&amp;TEXT(L25,"#,##0"),"")</f>
        <v/>
      </c>
      <c r="X25" s="31" t="str">
        <f aca="false">IF(L25&lt;&gt;"","💰 Sewa Bulanan RM "&amp;TEXT(L25,"#,##0"),"")</f>
        <v/>
      </c>
      <c r="Y25" s="33" t="str">
        <f aca="false">IF(D25&lt;&gt;"","您好！我想咨询出租：
🏠 "&amp;D25&amp;"
"&amp;IF(E25&lt;&gt;"","🛏 "&amp;E25&amp;"房"&amp;IF(F25&lt;&gt;""," "&amp;F25&amp;"卫","")&amp;"
","")&amp;IF(G25&lt;&gt;"","📐 "&amp;G25&amp;" sqft
","")&amp;IF(H25&lt;&gt;"","🏊 "&amp;H25&amp;"
","")&amp;IF(U25&lt;&gt;"",U25&amp;"
","")&amp;IF(L25&lt;&gt;"","💰 月租 RM "&amp;TEXT(L25,"#,##0")&amp;"
","")&amp;"
请问还有空档吗？谢谢！","")</f>
        <v/>
      </c>
      <c r="Z25" s="33" t="str">
        <f aca="false">IF(D25&lt;&gt;"","Hi! I'd like to make a rental enquiry:
🏠 "&amp;P25&amp;"
"&amp;IF(E25&lt;&gt;"","🛏 "&amp;E25&amp;"BR"&amp;IF(F25&lt;&gt;""," "&amp;F25&amp;"BA","")&amp;"
","")&amp;IF(G25&lt;&gt;"","📐 "&amp;G25&amp;" sqft
","")&amp;IF(H25&lt;&gt;"","🏊 "&amp;SUBSTITUTE(SUBSTITUTE(SUBSTITUTE(SUBSTITUTE(SUBSTITUTE(SUBSTITUTE(SUBSTITUTE(SUBSTITUTE(SUBSTITUTE(SUBSTITUTE(H25,"游泳池","Swimming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","")&amp;IF(L25&lt;&gt;"","💰 Monthly Rent RM "&amp;TEXT(L25,"#,##0")&amp;"
","")&amp;"
Is this still available? Thank you!","")</f>
        <v/>
      </c>
      <c r="AA25" s="31"/>
      <c r="AB25" s="33" t="str">
        <f aca="false">IF(D25&lt;&gt;"","Helo! Saya ingin membuat pertanyaan sewa:
🏠 "&amp;Q25&amp;"
"&amp;IF(E25&lt;&gt;"","🛏 "&amp;E25&amp;"Bilik"&amp;IF(F25&lt;&gt;""," "&amp;F25&amp;"Bilik Air","")&amp;"
","")&amp;IF(G25&lt;&gt;"","📐 "&amp;G25&amp;" sqft
","")&amp;IF(H25&lt;&gt;"","🏊 "&amp;SUBSTITUTE(SUBSTITUTE(SUBSTITUTE(SUBSTITUTE(SUBSTITUTE(SUBSTITUTE(SUBSTITUTE(SUBSTITUTE(SUBSTITUTE(SUBSTITUTE(H25,"游泳池","Kolam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","")&amp;IF(L25&lt;&gt;"","💰 Sewa Bulanan RM "&amp;TEXT(L25,"#,##0")&amp;"
","")&amp;"
Adakah masih tersedia? Terima kasih!","")</f>
        <v/>
      </c>
    </row>
    <row r="26" customFormat="false" ht="5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9"/>
      <c r="J26" s="29"/>
      <c r="K26" s="29"/>
      <c r="L26" s="28"/>
      <c r="M26" s="30"/>
      <c r="N26" s="31" t="str">
        <f aca="false">IFERROR(ifs(B26="🏢 Condo 公寓","fa-building",B26="🏠 Apartment 单位","fa-home",B26="🌿 即租即住","fa-home",B26="🌿 近国际学校","fa-school",B26="📌 商业旺铺","fa-store",B26="🌟 海景豪宅","fa-water-ladder",B26="📈 投资优选","fa-chart-line",B26="🏞️ 花园住宅","fa-tree",B26="🌟 2026全新地标","fa-drafting-compass",B26="📈 海外投资优选","fa-globe",B26="🌆 核心地段","fa-city",B26="🔥 限时优惠","fa-fire",B26="✅ 永久产权","fa-certificate",B26="🏅 高回报","fa-medal",B26="🏖️ 度假胜地","fa-umbrella-beach",B26="🏫 学区优选","fa-graduation-cap",B26="🛣️ 交通便利","fa-road",B26="🔑 即买即住","fa-key"),"fa-home")</f>
        <v>fa-home</v>
      </c>
      <c r="O26" s="31" t="str">
        <f aca="false">IF(D26&lt;&gt;"",D26,"")</f>
        <v/>
      </c>
      <c r="P26" s="31" t="str">
        <f aca="false">IF(D26&lt;&gt;"",SUBSTITUTE(SUBSTITUTE(SUBSTITUTE(SUBSTITUTE(SUBSTITUTE(SUBSTITUTE(SUBSTITUTE(SUBSTITUTE(SUBSTITUTE(SUBSTITUTE(D26,"亚庇","Kota Kinabalu"),"公寓","Condo"),"排屋","Terrace"),"别墅","Villa"),"店铺","Shop"),"新山","Johor Bahru"),"市中心","City Centre"),"高级","Premium"),"单位","Unit"),"住宅","Residence"),"")</f>
        <v/>
      </c>
      <c r="Q26" s="31" t="str">
        <f aca="false">IF(D26&lt;&gt;"",SUBSTITUTE(SUBSTITUTE(SUBSTITUTE(SUBSTITUTE(SUBSTITUTE(SUBSTITUTE(SUBSTITUTE(SUBSTITUTE(SUBSTITUTE(SUBSTITUTE(D26,"亚庇","Kota Kinabalu"),"公寓","Kondominium"),"排屋","Rumah Teres"),"别墅","Vila"),"店铺","Kedai"),"新山","Johor Bahru"),"市中心","Pusat Bandar"),"高级","Premium"),"单位","Unit"),"住宅","Kediaman"),"")</f>
        <v/>
      </c>
      <c r="R26" s="31" t="str">
        <f aca="false">IF(D26&lt;&gt;"","📍 "&amp;IF(E26&lt;&gt;"",E26&amp;"房","")&amp;IF(F26&lt;&gt;"",F26&amp;"卫 ","")&amp;IF(G26&lt;&gt;"",G26&amp;" sqft","")&amp;IF(AND(OR(E26&lt;&gt;"",G26&lt;&gt;""),H26&lt;&gt;"")," · ","")&amp;IF(H26&lt;&gt;"",H26,""),"")</f>
        <v/>
      </c>
      <c r="S26" s="31" t="str">
        <f aca="false">IF(D26&lt;&gt;"","📍 "&amp;IF(E26&lt;&gt;"",E26&amp;"BR ","")&amp;IF(F26&lt;&gt;"",F26&amp;"BA ","")&amp;IF(G26&lt;&gt;"",G26&amp;" sqft","")&amp;IF(AND(OR(E26&lt;&gt;"",G26&lt;&gt;""),H26&lt;&gt;"")," · ","")&amp;IF(H26&lt;&gt;"",SUBSTITUTE(SUBSTITUTE(SUBSTITUTE(SUBSTITUTE(SUBSTITUTE(SUBSTITUTE(SUBSTITUTE(SUBSTITUTE(SUBSTITUTE(SUBSTITUTE(H26,"游泳池","Swimming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6" s="31" t="str">
        <f aca="false">IF(D26&lt;&gt;"","📍 "&amp;IF(E26&lt;&gt;"",E26&amp;"Bilik ","")&amp;IF(F26&lt;&gt;"",F26&amp;"Bilik Air ","")&amp;IF(G26&lt;&gt;"",G26&amp;" sqft","")&amp;IF(AND(OR(E26&lt;&gt;"",G26&lt;&gt;""),H26&lt;&gt;"")," · ","")&amp;IF(H26&lt;&gt;"",SUBSTITUTE(SUBSTITUTE(SUBSTITUTE(SUBSTITUTE(SUBSTITUTE(SUBSTITUTE(SUBSTITUTE(SUBSTITUTE(SUBSTITUTE(SUBSTITUTE(H26,"游泳池","Kolam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6" s="32" t="str">
        <f aca="false">IF(OR(I26&lt;&gt;"",J26&lt;&gt;"",K26&lt;&gt;""),"🔒 "&amp;IF(I26&lt;&gt;"",I26,"")&amp;IF(AND(I26&lt;&gt;"",J26&lt;&gt;"")," · ","")&amp;IF(J26&lt;&gt;"",J26,"")&amp;IF(AND(OR(I26&lt;&gt;"",J26&lt;&gt;""),K26&lt;&gt;"")," · ","")&amp;IF(K26&lt;&gt;"",K26,""),"")</f>
        <v/>
      </c>
      <c r="V26" s="31" t="str">
        <f aca="false">IF(L26&lt;&gt;"","💰 月租 RM "&amp;TEXT(L26,"#,##0"),"")</f>
        <v/>
      </c>
      <c r="W26" s="31" t="str">
        <f aca="false">IF(L26&lt;&gt;"","💰 Monthly Rent RM "&amp;TEXT(L26,"#,##0"),"")</f>
        <v/>
      </c>
      <c r="X26" s="31" t="str">
        <f aca="false">IF(L26&lt;&gt;"","💰 Sewa Bulanan RM "&amp;TEXT(L26,"#,##0"),"")</f>
        <v/>
      </c>
      <c r="Y26" s="33" t="str">
        <f aca="false">IF(D26&lt;&gt;"","您好！我想咨询出租：
🏠 "&amp;D26&amp;"
"&amp;IF(E26&lt;&gt;"","🛏 "&amp;E26&amp;"房"&amp;IF(F26&lt;&gt;""," "&amp;F26&amp;"卫","")&amp;"
","")&amp;IF(G26&lt;&gt;"","📐 "&amp;G26&amp;" sqft
","")&amp;IF(H26&lt;&gt;"","🏊 "&amp;H26&amp;"
","")&amp;IF(U26&lt;&gt;"",U26&amp;"
","")&amp;IF(L26&lt;&gt;"","💰 月租 RM "&amp;TEXT(L26,"#,##0")&amp;"
","")&amp;"
请问还有空档吗？谢谢！","")</f>
        <v/>
      </c>
      <c r="Z26" s="33" t="str">
        <f aca="false">IF(D26&lt;&gt;"","Hi! I'd like to make a rental enquiry:
🏠 "&amp;P26&amp;"
"&amp;IF(E26&lt;&gt;"","🛏 "&amp;E26&amp;"BR"&amp;IF(F26&lt;&gt;""," "&amp;F26&amp;"BA","")&amp;"
","")&amp;IF(G26&lt;&gt;"","📐 "&amp;G26&amp;" sqft
","")&amp;IF(H26&lt;&gt;"","🏊 "&amp;SUBSTITUTE(SUBSTITUTE(SUBSTITUTE(SUBSTITUTE(SUBSTITUTE(SUBSTITUTE(SUBSTITUTE(SUBSTITUTE(SUBSTITUTE(SUBSTITUTE(H26,"游泳池","Swimming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","")&amp;IF(L26&lt;&gt;"","💰 Monthly Rent RM "&amp;TEXT(L26,"#,##0")&amp;"
","")&amp;"
Is this still available? Thank you!","")</f>
        <v/>
      </c>
      <c r="AA26" s="31"/>
      <c r="AB26" s="33" t="str">
        <f aca="false">IF(D26&lt;&gt;"","Helo! Saya ingin membuat pertanyaan sewa:
🏠 "&amp;Q26&amp;"
"&amp;IF(E26&lt;&gt;"","🛏 "&amp;E26&amp;"Bilik"&amp;IF(F26&lt;&gt;""," "&amp;F26&amp;"Bilik Air","")&amp;"
","")&amp;IF(G26&lt;&gt;"","📐 "&amp;G26&amp;" sqft
","")&amp;IF(H26&lt;&gt;"","🏊 "&amp;SUBSTITUTE(SUBSTITUTE(SUBSTITUTE(SUBSTITUTE(SUBSTITUTE(SUBSTITUTE(SUBSTITUTE(SUBSTITUTE(SUBSTITUTE(SUBSTITUTE(H26,"游泳池","Kolam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","")&amp;IF(L26&lt;&gt;"","💰 Sewa Bulanan RM "&amp;TEXT(L26,"#,##0")&amp;"
","")&amp;"
Adakah masih tersedia? Terima kasih!","")</f>
        <v/>
      </c>
    </row>
    <row r="27" customFormat="false" ht="51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9"/>
      <c r="J27" s="29"/>
      <c r="K27" s="29"/>
      <c r="L27" s="28"/>
      <c r="M27" s="30"/>
      <c r="N27" s="31" t="str">
        <f aca="false">IFERROR(ifs(B27="🏢 Condo 公寓","fa-building",B27="🏠 Apartment 单位","fa-home",B27="🌿 即租即住","fa-home",B27="🌿 近国际学校","fa-school",B27="📌 商业旺铺","fa-store",B27="🌟 海景豪宅","fa-water-ladder",B27="📈 投资优选","fa-chart-line",B27="🏞️ 花园住宅","fa-tree",B27="🌟 2026全新地标","fa-drafting-compass",B27="📈 海外投资优选","fa-globe",B27="🌆 核心地段","fa-city",B27="🔥 限时优惠","fa-fire",B27="✅ 永久产权","fa-certificate",B27="🏅 高回报","fa-medal",B27="🏖️ 度假胜地","fa-umbrella-beach",B27="🏫 学区优选","fa-graduation-cap",B27="🛣️ 交通便利","fa-road",B27="🔑 即买即住","fa-key"),"fa-home")</f>
        <v>fa-home</v>
      </c>
      <c r="O27" s="31" t="str">
        <f aca="false">IF(D27&lt;&gt;"",D27,"")</f>
        <v/>
      </c>
      <c r="P27" s="31" t="str">
        <f aca="false">IF(D27&lt;&gt;"",SUBSTITUTE(SUBSTITUTE(SUBSTITUTE(SUBSTITUTE(SUBSTITUTE(SUBSTITUTE(SUBSTITUTE(SUBSTITUTE(SUBSTITUTE(SUBSTITUTE(D27,"亚庇","Kota Kinabalu"),"公寓","Condo"),"排屋","Terrace"),"别墅","Villa"),"店铺","Shop"),"新山","Johor Bahru"),"市中心","City Centre"),"高级","Premium"),"单位","Unit"),"住宅","Residence"),"")</f>
        <v/>
      </c>
      <c r="Q27" s="31" t="str">
        <f aca="false">IF(D27&lt;&gt;"",SUBSTITUTE(SUBSTITUTE(SUBSTITUTE(SUBSTITUTE(SUBSTITUTE(SUBSTITUTE(SUBSTITUTE(SUBSTITUTE(SUBSTITUTE(SUBSTITUTE(D27,"亚庇","Kota Kinabalu"),"公寓","Kondominium"),"排屋","Rumah Teres"),"别墅","Vila"),"店铺","Kedai"),"新山","Johor Bahru"),"市中心","Pusat Bandar"),"高级","Premium"),"单位","Unit"),"住宅","Kediaman"),"")</f>
        <v/>
      </c>
      <c r="R27" s="31" t="str">
        <f aca="false">IF(D27&lt;&gt;"","📍 "&amp;IF(E27&lt;&gt;"",E27&amp;"房","")&amp;IF(F27&lt;&gt;"",F27&amp;"卫 ","")&amp;IF(G27&lt;&gt;"",G27&amp;" sqft","")&amp;IF(AND(OR(E27&lt;&gt;"",G27&lt;&gt;""),H27&lt;&gt;"")," · ","")&amp;IF(H27&lt;&gt;"",H27,""),"")</f>
        <v/>
      </c>
      <c r="S27" s="31" t="str">
        <f aca="false">IF(D27&lt;&gt;"","📍 "&amp;IF(E27&lt;&gt;"",E27&amp;"BR ","")&amp;IF(F27&lt;&gt;"",F27&amp;"BA ","")&amp;IF(G27&lt;&gt;"",G27&amp;" sqft","")&amp;IF(AND(OR(E27&lt;&gt;"",G27&lt;&gt;""),H27&lt;&gt;"")," · ","")&amp;IF(H27&lt;&gt;"",SUBSTITUTE(SUBSTITUTE(SUBSTITUTE(SUBSTITUTE(SUBSTITUTE(SUBSTITUTE(SUBSTITUTE(SUBSTITUTE(SUBSTITUTE(SUBSTITUTE(H27,"游泳池","Swimming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7" s="31" t="str">
        <f aca="false">IF(D27&lt;&gt;"","📍 "&amp;IF(E27&lt;&gt;"",E27&amp;"Bilik ","")&amp;IF(F27&lt;&gt;"",F27&amp;"Bilik Air ","")&amp;IF(G27&lt;&gt;"",G27&amp;" sqft","")&amp;IF(AND(OR(E27&lt;&gt;"",G27&lt;&gt;""),H27&lt;&gt;"")," · ","")&amp;IF(H27&lt;&gt;"",SUBSTITUTE(SUBSTITUTE(SUBSTITUTE(SUBSTITUTE(SUBSTITUTE(SUBSTITUTE(SUBSTITUTE(SUBSTITUTE(SUBSTITUTE(SUBSTITUTE(H27,"游泳池","Kolam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7" s="32" t="str">
        <f aca="false">IF(OR(I27&lt;&gt;"",J27&lt;&gt;"",K27&lt;&gt;""),"🔒 "&amp;IF(I27&lt;&gt;"",I27,"")&amp;IF(AND(I27&lt;&gt;"",J27&lt;&gt;"")," · ","")&amp;IF(J27&lt;&gt;"",J27,"")&amp;IF(AND(OR(I27&lt;&gt;"",J27&lt;&gt;""),K27&lt;&gt;"")," · ","")&amp;IF(K27&lt;&gt;"",K27,""),"")</f>
        <v/>
      </c>
      <c r="V27" s="31" t="str">
        <f aca="false">IF(L27&lt;&gt;"","💰 月租 RM "&amp;TEXT(L27,"#,##0"),"")</f>
        <v/>
      </c>
      <c r="W27" s="31" t="str">
        <f aca="false">IF(L27&lt;&gt;"","💰 Monthly Rent RM "&amp;TEXT(L27,"#,##0"),"")</f>
        <v/>
      </c>
      <c r="X27" s="31" t="str">
        <f aca="false">IF(L27&lt;&gt;"","💰 Sewa Bulanan RM "&amp;TEXT(L27,"#,##0"),"")</f>
        <v/>
      </c>
      <c r="Y27" s="33" t="str">
        <f aca="false">IF(D27&lt;&gt;"","您好！我想咨询出租：
🏠 "&amp;D27&amp;"
"&amp;IF(E27&lt;&gt;"","🛏 "&amp;E27&amp;"房"&amp;IF(F27&lt;&gt;""," "&amp;F27&amp;"卫","")&amp;"
","")&amp;IF(G27&lt;&gt;"","📐 "&amp;G27&amp;" sqft
","")&amp;IF(H27&lt;&gt;"","🏊 "&amp;H27&amp;"
","")&amp;IF(U27&lt;&gt;"",U27&amp;"
","")&amp;IF(L27&lt;&gt;"","💰 月租 RM "&amp;TEXT(L27,"#,##0")&amp;"
","")&amp;"
请问还有空档吗？谢谢！","")</f>
        <v/>
      </c>
      <c r="Z27" s="33" t="str">
        <f aca="false">IF(D27&lt;&gt;"","Hi! I'd like to make a rental enquiry:
🏠 "&amp;P27&amp;"
"&amp;IF(E27&lt;&gt;"","🛏 "&amp;E27&amp;"BR"&amp;IF(F27&lt;&gt;""," "&amp;F27&amp;"BA","")&amp;"
","")&amp;IF(G27&lt;&gt;"","📐 "&amp;G27&amp;" sqft
","")&amp;IF(H27&lt;&gt;"","🏊 "&amp;SUBSTITUTE(SUBSTITUTE(SUBSTITUTE(SUBSTITUTE(SUBSTITUTE(SUBSTITUTE(SUBSTITUTE(SUBSTITUTE(SUBSTITUTE(SUBSTITUTE(H27,"游泳池","Swimming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","")&amp;IF(L27&lt;&gt;"","💰 Monthly Rent RM "&amp;TEXT(L27,"#,##0")&amp;"
","")&amp;"
Is this still available? Thank you!","")</f>
        <v/>
      </c>
      <c r="AA27" s="31"/>
      <c r="AB27" s="33" t="str">
        <f aca="false">IF(D27&lt;&gt;"","Helo! Saya ingin membuat pertanyaan sewa:
🏠 "&amp;Q27&amp;"
"&amp;IF(E27&lt;&gt;"","🛏 "&amp;E27&amp;"Bilik"&amp;IF(F27&lt;&gt;""," "&amp;F27&amp;"Bilik Air","")&amp;"
","")&amp;IF(G27&lt;&gt;"","📐 "&amp;G27&amp;" sqft
","")&amp;IF(H27&lt;&gt;"","🏊 "&amp;SUBSTITUTE(SUBSTITUTE(SUBSTITUTE(SUBSTITUTE(SUBSTITUTE(SUBSTITUTE(SUBSTITUTE(SUBSTITUTE(SUBSTITUTE(SUBSTITUTE(H27,"游泳池","Kolam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","")&amp;IF(L27&lt;&gt;"","💰 Sewa Bulanan RM "&amp;TEXT(L27,"#,##0")&amp;"
","")&amp;"
Adakah masih tersedia? Terima kasih!","")</f>
        <v/>
      </c>
    </row>
    <row r="28" customFormat="false" ht="5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9"/>
      <c r="J28" s="29"/>
      <c r="K28" s="29"/>
      <c r="L28" s="28"/>
      <c r="M28" s="30"/>
      <c r="N28" s="31" t="str">
        <f aca="false">IFERROR(ifs(B28="🏢 Condo 公寓","fa-building",B28="🏠 Apartment 单位","fa-home",B28="🌿 即租即住","fa-home",B28="🌿 近国际学校","fa-school",B28="📌 商业旺铺","fa-store",B28="🌟 海景豪宅","fa-water-ladder",B28="📈 投资优选","fa-chart-line",B28="🏞️ 花园住宅","fa-tree",B28="🌟 2026全新地标","fa-drafting-compass",B28="📈 海外投资优选","fa-globe",B28="🌆 核心地段","fa-city",B28="🔥 限时优惠","fa-fire",B28="✅ 永久产权","fa-certificate",B28="🏅 高回报","fa-medal",B28="🏖️ 度假胜地","fa-umbrella-beach",B28="🏫 学区优选","fa-graduation-cap",B28="🛣️ 交通便利","fa-road",B28="🔑 即买即住","fa-key"),"fa-home")</f>
        <v>fa-home</v>
      </c>
      <c r="O28" s="31" t="str">
        <f aca="false">IF(D28&lt;&gt;"",D28,"")</f>
        <v/>
      </c>
      <c r="P28" s="31" t="str">
        <f aca="false">IF(D28&lt;&gt;"",SUBSTITUTE(SUBSTITUTE(SUBSTITUTE(SUBSTITUTE(SUBSTITUTE(SUBSTITUTE(SUBSTITUTE(SUBSTITUTE(SUBSTITUTE(SUBSTITUTE(D28,"亚庇","Kota Kinabalu"),"公寓","Condo"),"排屋","Terrace"),"别墅","Villa"),"店铺","Shop"),"新山","Johor Bahru"),"市中心","City Centre"),"高级","Premium"),"单位","Unit"),"住宅","Residence"),"")</f>
        <v/>
      </c>
      <c r="Q28" s="31" t="str">
        <f aca="false">IF(D28&lt;&gt;"",SUBSTITUTE(SUBSTITUTE(SUBSTITUTE(SUBSTITUTE(SUBSTITUTE(SUBSTITUTE(SUBSTITUTE(SUBSTITUTE(SUBSTITUTE(SUBSTITUTE(D28,"亚庇","Kota Kinabalu"),"公寓","Kondominium"),"排屋","Rumah Teres"),"别墅","Vila"),"店铺","Kedai"),"新山","Johor Bahru"),"市中心","Pusat Bandar"),"高级","Premium"),"单位","Unit"),"住宅","Kediaman"),"")</f>
        <v/>
      </c>
      <c r="R28" s="31" t="str">
        <f aca="false">IF(D28&lt;&gt;"","📍 "&amp;IF(E28&lt;&gt;"",E28&amp;"房","")&amp;IF(F28&lt;&gt;"",F28&amp;"卫 ","")&amp;IF(G28&lt;&gt;"",G28&amp;" sqft","")&amp;IF(AND(OR(E28&lt;&gt;"",G28&lt;&gt;""),H28&lt;&gt;"")," · ","")&amp;IF(H28&lt;&gt;"",H28,""),"")</f>
        <v/>
      </c>
      <c r="S28" s="31" t="str">
        <f aca="false">IF(D28&lt;&gt;"","📍 "&amp;IF(E28&lt;&gt;"",E28&amp;"BR ","")&amp;IF(F28&lt;&gt;"",F28&amp;"BA ","")&amp;IF(G28&lt;&gt;"",G28&amp;" sqft","")&amp;IF(AND(OR(E28&lt;&gt;"",G28&lt;&gt;""),H28&lt;&gt;"")," · ","")&amp;IF(H28&lt;&gt;"",SUBSTITUTE(SUBSTITUTE(SUBSTITUTE(SUBSTITUTE(SUBSTITUTE(SUBSTITUTE(SUBSTITUTE(SUBSTITUTE(SUBSTITUTE(SUBSTITUTE(H28,"游泳池","Swimming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8" s="31" t="str">
        <f aca="false">IF(D28&lt;&gt;"","📍 "&amp;IF(E28&lt;&gt;"",E28&amp;"Bilik ","")&amp;IF(F28&lt;&gt;"",F28&amp;"Bilik Air ","")&amp;IF(G28&lt;&gt;"",G28&amp;" sqft","")&amp;IF(AND(OR(E28&lt;&gt;"",G28&lt;&gt;""),H28&lt;&gt;"")," · ","")&amp;IF(H28&lt;&gt;"",SUBSTITUTE(SUBSTITUTE(SUBSTITUTE(SUBSTITUTE(SUBSTITUTE(SUBSTITUTE(SUBSTITUTE(SUBSTITUTE(SUBSTITUTE(SUBSTITUTE(H28,"游泳池","Kolam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8" s="32" t="str">
        <f aca="false">IF(OR(I28&lt;&gt;"",J28&lt;&gt;"",K28&lt;&gt;""),"🔒 "&amp;IF(I28&lt;&gt;"",I28,"")&amp;IF(AND(I28&lt;&gt;"",J28&lt;&gt;"")," · ","")&amp;IF(J28&lt;&gt;"",J28,"")&amp;IF(AND(OR(I28&lt;&gt;"",J28&lt;&gt;""),K28&lt;&gt;"")," · ","")&amp;IF(K28&lt;&gt;"",K28,""),"")</f>
        <v/>
      </c>
      <c r="V28" s="31" t="str">
        <f aca="false">IF(L28&lt;&gt;"","💰 月租 RM "&amp;TEXT(L28,"#,##0"),"")</f>
        <v/>
      </c>
      <c r="W28" s="31" t="str">
        <f aca="false">IF(L28&lt;&gt;"","💰 Monthly Rent RM "&amp;TEXT(L28,"#,##0"),"")</f>
        <v/>
      </c>
      <c r="X28" s="31" t="str">
        <f aca="false">IF(L28&lt;&gt;"","💰 Sewa Bulanan RM "&amp;TEXT(L28,"#,##0"),"")</f>
        <v/>
      </c>
      <c r="Y28" s="33" t="str">
        <f aca="false">IF(D28&lt;&gt;"","您好！我想咨询出租：
🏠 "&amp;D28&amp;"
"&amp;IF(E28&lt;&gt;"","🛏 "&amp;E28&amp;"房"&amp;IF(F28&lt;&gt;""," "&amp;F28&amp;"卫","")&amp;"
","")&amp;IF(G28&lt;&gt;"","📐 "&amp;G28&amp;" sqft
","")&amp;IF(H28&lt;&gt;"","🏊 "&amp;H28&amp;"
","")&amp;IF(U28&lt;&gt;"",U28&amp;"
","")&amp;IF(L28&lt;&gt;"","💰 月租 RM "&amp;TEXT(L28,"#,##0")&amp;"
","")&amp;"
请问还有空档吗？谢谢！","")</f>
        <v/>
      </c>
      <c r="Z28" s="33" t="str">
        <f aca="false">IF(D28&lt;&gt;"","Hi! I'd like to make a rental enquiry:
🏠 "&amp;P28&amp;"
"&amp;IF(E28&lt;&gt;"","🛏 "&amp;E28&amp;"BR"&amp;IF(F28&lt;&gt;""," "&amp;F28&amp;"BA","")&amp;"
","")&amp;IF(G28&lt;&gt;"","📐 "&amp;G28&amp;" sqft
","")&amp;IF(H28&lt;&gt;"","🏊 "&amp;SUBSTITUTE(SUBSTITUTE(SUBSTITUTE(SUBSTITUTE(SUBSTITUTE(SUBSTITUTE(SUBSTITUTE(SUBSTITUTE(SUBSTITUTE(SUBSTITUTE(H28,"游泳池","Swimming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","")&amp;IF(L28&lt;&gt;"","💰 Monthly Rent RM "&amp;TEXT(L28,"#,##0")&amp;"
","")&amp;"
Is this still available? Thank you!","")</f>
        <v/>
      </c>
      <c r="AA28" s="31"/>
      <c r="AB28" s="33" t="str">
        <f aca="false">IF(D28&lt;&gt;"","Helo! Saya ingin membuat pertanyaan sewa:
🏠 "&amp;Q28&amp;"
"&amp;IF(E28&lt;&gt;"","🛏 "&amp;E28&amp;"Bilik"&amp;IF(F28&lt;&gt;""," "&amp;F28&amp;"Bilik Air","")&amp;"
","")&amp;IF(G28&lt;&gt;"","📐 "&amp;G28&amp;" sqft
","")&amp;IF(H28&lt;&gt;"","🏊 "&amp;SUBSTITUTE(SUBSTITUTE(SUBSTITUTE(SUBSTITUTE(SUBSTITUTE(SUBSTITUTE(SUBSTITUTE(SUBSTITUTE(SUBSTITUTE(SUBSTITUTE(H28,"游泳池","Kolam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","")&amp;IF(L28&lt;&gt;"","💰 Sewa Bulanan RM "&amp;TEXT(L28,"#,##0")&amp;"
","")&amp;"
Adakah masih tersedia? Terima kasih!","")</f>
        <v/>
      </c>
    </row>
    <row r="29" customFormat="false" ht="51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9"/>
      <c r="J29" s="29"/>
      <c r="K29" s="29"/>
      <c r="L29" s="28"/>
      <c r="M29" s="30"/>
      <c r="N29" s="31" t="str">
        <f aca="false">IFERROR(ifs(B29="🏢 Condo 公寓","fa-building",B29="🏠 Apartment 单位","fa-home",B29="🌿 即租即住","fa-home",B29="🌿 近国际学校","fa-school",B29="📌 商业旺铺","fa-store",B29="🌟 海景豪宅","fa-water-ladder",B29="📈 投资优选","fa-chart-line",B29="🏞️ 花园住宅","fa-tree",B29="🌟 2026全新地标","fa-drafting-compass",B29="📈 海外投资优选","fa-globe",B29="🌆 核心地段","fa-city",B29="🔥 限时优惠","fa-fire",B29="✅ 永久产权","fa-certificate",B29="🏅 高回报","fa-medal",B29="🏖️ 度假胜地","fa-umbrella-beach",B29="🏫 学区优选","fa-graduation-cap",B29="🛣️ 交通便利","fa-road",B29="🔑 即买即住","fa-key"),"fa-home")</f>
        <v>fa-home</v>
      </c>
      <c r="O29" s="31" t="str">
        <f aca="false">IF(D29&lt;&gt;"",D29,"")</f>
        <v/>
      </c>
      <c r="P29" s="31" t="str">
        <f aca="false">IF(D29&lt;&gt;"",SUBSTITUTE(SUBSTITUTE(SUBSTITUTE(SUBSTITUTE(SUBSTITUTE(SUBSTITUTE(SUBSTITUTE(SUBSTITUTE(SUBSTITUTE(SUBSTITUTE(D29,"亚庇","Kota Kinabalu"),"公寓","Condo"),"排屋","Terrace"),"别墅","Villa"),"店铺","Shop"),"新山","Johor Bahru"),"市中心","City Centre"),"高级","Premium"),"单位","Unit"),"住宅","Residence"),"")</f>
        <v/>
      </c>
      <c r="Q29" s="31" t="str">
        <f aca="false">IF(D29&lt;&gt;"",SUBSTITUTE(SUBSTITUTE(SUBSTITUTE(SUBSTITUTE(SUBSTITUTE(SUBSTITUTE(SUBSTITUTE(SUBSTITUTE(SUBSTITUTE(SUBSTITUTE(D29,"亚庇","Kota Kinabalu"),"公寓","Kondominium"),"排屋","Rumah Teres"),"别墅","Vila"),"店铺","Kedai"),"新山","Johor Bahru"),"市中心","Pusat Bandar"),"高级","Premium"),"单位","Unit"),"住宅","Kediaman"),"")</f>
        <v/>
      </c>
      <c r="R29" s="31" t="str">
        <f aca="false">IF(D29&lt;&gt;"","📍 "&amp;IF(E29&lt;&gt;"",E29&amp;"房","")&amp;IF(F29&lt;&gt;"",F29&amp;"卫 ","")&amp;IF(G29&lt;&gt;"",G29&amp;" sqft","")&amp;IF(AND(OR(E29&lt;&gt;"",G29&lt;&gt;""),H29&lt;&gt;"")," · ","")&amp;IF(H29&lt;&gt;"",H29,""),"")</f>
        <v/>
      </c>
      <c r="S29" s="31" t="str">
        <f aca="false">IF(D29&lt;&gt;"","📍 "&amp;IF(E29&lt;&gt;"",E29&amp;"BR ","")&amp;IF(F29&lt;&gt;"",F29&amp;"BA ","")&amp;IF(G29&lt;&gt;"",G29&amp;" sqft","")&amp;IF(AND(OR(E29&lt;&gt;"",G29&lt;&gt;""),H29&lt;&gt;"")," · ","")&amp;IF(H29&lt;&gt;"",SUBSTITUTE(SUBSTITUTE(SUBSTITUTE(SUBSTITUTE(SUBSTITUTE(SUBSTITUTE(SUBSTITUTE(SUBSTITUTE(SUBSTITUTE(SUBSTITUTE(H29,"游泳池","Swimming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9" s="31" t="str">
        <f aca="false">IF(D29&lt;&gt;"","📍 "&amp;IF(E29&lt;&gt;"",E29&amp;"Bilik ","")&amp;IF(F29&lt;&gt;"",F29&amp;"Bilik Air ","")&amp;IF(G29&lt;&gt;"",G29&amp;" sqft","")&amp;IF(AND(OR(E29&lt;&gt;"",G29&lt;&gt;""),H29&lt;&gt;"")," · ","")&amp;IF(H29&lt;&gt;"",SUBSTITUTE(SUBSTITUTE(SUBSTITUTE(SUBSTITUTE(SUBSTITUTE(SUBSTITUTE(SUBSTITUTE(SUBSTITUTE(SUBSTITUTE(SUBSTITUTE(H29,"游泳池","Kolam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9" s="32" t="str">
        <f aca="false">IF(OR(I29&lt;&gt;"",J29&lt;&gt;"",K29&lt;&gt;""),"🔒 "&amp;IF(I29&lt;&gt;"",I29,"")&amp;IF(AND(I29&lt;&gt;"",J29&lt;&gt;"")," · ","")&amp;IF(J29&lt;&gt;"",J29,"")&amp;IF(AND(OR(I29&lt;&gt;"",J29&lt;&gt;""),K29&lt;&gt;"")," · ","")&amp;IF(K29&lt;&gt;"",K29,""),"")</f>
        <v/>
      </c>
      <c r="V29" s="31" t="str">
        <f aca="false">IF(L29&lt;&gt;"","💰 月租 RM "&amp;TEXT(L29,"#,##0"),"")</f>
        <v/>
      </c>
      <c r="W29" s="31" t="str">
        <f aca="false">IF(L29&lt;&gt;"","💰 Monthly Rent RM "&amp;TEXT(L29,"#,##0"),"")</f>
        <v/>
      </c>
      <c r="X29" s="31" t="str">
        <f aca="false">IF(L29&lt;&gt;"","💰 Sewa Bulanan RM "&amp;TEXT(L29,"#,##0"),"")</f>
        <v/>
      </c>
      <c r="Y29" s="33" t="str">
        <f aca="false">IF(D29&lt;&gt;"","您好！我想咨询出租：
🏠 "&amp;D29&amp;"
"&amp;IF(E29&lt;&gt;"","🛏 "&amp;E29&amp;"房"&amp;IF(F29&lt;&gt;""," "&amp;F29&amp;"卫","")&amp;"
","")&amp;IF(G29&lt;&gt;"","📐 "&amp;G29&amp;" sqft
","")&amp;IF(H29&lt;&gt;"","🏊 "&amp;H29&amp;"
","")&amp;IF(U29&lt;&gt;"",U29&amp;"
","")&amp;IF(L29&lt;&gt;"","💰 月租 RM "&amp;TEXT(L29,"#,##0")&amp;"
","")&amp;"
请问还有空档吗？谢谢！","")</f>
        <v/>
      </c>
      <c r="Z29" s="33" t="str">
        <f aca="false">IF(D29&lt;&gt;"","Hi! I'd like to make a rental enquiry:
🏠 "&amp;P29&amp;"
"&amp;IF(E29&lt;&gt;"","🛏 "&amp;E29&amp;"BR"&amp;IF(F29&lt;&gt;""," "&amp;F29&amp;"BA","")&amp;"
","")&amp;IF(G29&lt;&gt;"","📐 "&amp;G29&amp;" sqft
","")&amp;IF(H29&lt;&gt;"","🏊 "&amp;SUBSTITUTE(SUBSTITUTE(SUBSTITUTE(SUBSTITUTE(SUBSTITUTE(SUBSTITUTE(SUBSTITUTE(SUBSTITUTE(SUBSTITUTE(SUBSTITUTE(H29,"游泳池","Swimming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","")&amp;IF(L29&lt;&gt;"","💰 Monthly Rent RM "&amp;TEXT(L29,"#,##0")&amp;"
","")&amp;"
Is this still available? Thank you!","")</f>
        <v/>
      </c>
      <c r="AA29" s="31"/>
      <c r="AB29" s="33" t="str">
        <f aca="false">IF(D29&lt;&gt;"","Helo! Saya ingin membuat pertanyaan sewa:
🏠 "&amp;Q29&amp;"
"&amp;IF(E29&lt;&gt;"","🛏 "&amp;E29&amp;"Bilik"&amp;IF(F29&lt;&gt;""," "&amp;F29&amp;"Bilik Air","")&amp;"
","")&amp;IF(G29&lt;&gt;"","📐 "&amp;G29&amp;" sqft
","")&amp;IF(H29&lt;&gt;"","🏊 "&amp;SUBSTITUTE(SUBSTITUTE(SUBSTITUTE(SUBSTITUTE(SUBSTITUTE(SUBSTITUTE(SUBSTITUTE(SUBSTITUTE(SUBSTITUTE(SUBSTITUTE(H29,"游泳池","Kolam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","")&amp;IF(L29&lt;&gt;"","💰 Sewa Bulanan RM "&amp;TEXT(L29,"#,##0")&amp;"
","")&amp;"
Adakah masih tersedia? Terima kasih!","")</f>
        <v/>
      </c>
    </row>
    <row r="30" customFormat="false" ht="5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9"/>
      <c r="J30" s="29"/>
      <c r="K30" s="29"/>
      <c r="L30" s="28"/>
      <c r="M30" s="30"/>
      <c r="N30" s="31" t="str">
        <f aca="false">IFERROR(ifs(B30="🏢 Condo 公寓","fa-building",B30="🏠 Apartment 单位","fa-home",B30="🌿 即租即住","fa-home",B30="🌿 近国际学校","fa-school",B30="📌 商业旺铺","fa-store",B30="🌟 海景豪宅","fa-water-ladder",B30="📈 投资优选","fa-chart-line",B30="🏞️ 花园住宅","fa-tree",B30="🌟 2026全新地标","fa-drafting-compass",B30="📈 海外投资优选","fa-globe",B30="🌆 核心地段","fa-city",B30="🔥 限时优惠","fa-fire",B30="✅ 永久产权","fa-certificate",B30="🏅 高回报","fa-medal",B30="🏖️ 度假胜地","fa-umbrella-beach",B30="🏫 学区优选","fa-graduation-cap",B30="🛣️ 交通便利","fa-road",B30="🔑 即买即住","fa-key"),"fa-home")</f>
        <v>fa-home</v>
      </c>
      <c r="O30" s="31" t="str">
        <f aca="false">IF(D30&lt;&gt;"",D30,"")</f>
        <v/>
      </c>
      <c r="P30" s="31" t="str">
        <f aca="false">IF(D30&lt;&gt;"",SUBSTITUTE(SUBSTITUTE(SUBSTITUTE(SUBSTITUTE(SUBSTITUTE(SUBSTITUTE(SUBSTITUTE(SUBSTITUTE(SUBSTITUTE(SUBSTITUTE(D30,"亚庇","Kota Kinabalu"),"公寓","Condo"),"排屋","Terrace"),"别墅","Villa"),"店铺","Shop"),"新山","Johor Bahru"),"市中心","City Centre"),"高级","Premium"),"单位","Unit"),"住宅","Residence"),"")</f>
        <v/>
      </c>
      <c r="Q30" s="31" t="str">
        <f aca="false">IF(D30&lt;&gt;"",SUBSTITUTE(SUBSTITUTE(SUBSTITUTE(SUBSTITUTE(SUBSTITUTE(SUBSTITUTE(SUBSTITUTE(SUBSTITUTE(SUBSTITUTE(SUBSTITUTE(D30,"亚庇","Kota Kinabalu"),"公寓","Kondominium"),"排屋","Rumah Teres"),"别墅","Vila"),"店铺","Kedai"),"新山","Johor Bahru"),"市中心","Pusat Bandar"),"高级","Premium"),"单位","Unit"),"住宅","Kediaman"),"")</f>
        <v/>
      </c>
      <c r="R30" s="31" t="str">
        <f aca="false">IF(D30&lt;&gt;"","📍 "&amp;IF(E30&lt;&gt;"",E30&amp;"房","")&amp;IF(F30&lt;&gt;"",F30&amp;"卫 ","")&amp;IF(G30&lt;&gt;"",G30&amp;" sqft","")&amp;IF(AND(OR(E30&lt;&gt;"",G30&lt;&gt;""),H30&lt;&gt;"")," · ","")&amp;IF(H30&lt;&gt;"",H30,""),"")</f>
        <v/>
      </c>
      <c r="S30" s="31" t="str">
        <f aca="false">IF(D30&lt;&gt;"","📍 "&amp;IF(E30&lt;&gt;"",E30&amp;"BR ","")&amp;IF(F30&lt;&gt;"",F30&amp;"BA ","")&amp;IF(G30&lt;&gt;"",G30&amp;" sqft","")&amp;IF(AND(OR(E30&lt;&gt;"",G30&lt;&gt;""),H30&lt;&gt;"")," · ","")&amp;IF(H30&lt;&gt;"",SUBSTITUTE(SUBSTITUTE(SUBSTITUTE(SUBSTITUTE(SUBSTITUTE(SUBSTITUTE(SUBSTITUTE(SUBSTITUTE(SUBSTITUTE(SUBSTITUTE(H30,"游泳池","Swimming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0" s="31" t="str">
        <f aca="false">IF(D30&lt;&gt;"","📍 "&amp;IF(E30&lt;&gt;"",E30&amp;"Bilik ","")&amp;IF(F30&lt;&gt;"",F30&amp;"Bilik Air ","")&amp;IF(G30&lt;&gt;"",G30&amp;" sqft","")&amp;IF(AND(OR(E30&lt;&gt;"",G30&lt;&gt;""),H30&lt;&gt;"")," · ","")&amp;IF(H30&lt;&gt;"",SUBSTITUTE(SUBSTITUTE(SUBSTITUTE(SUBSTITUTE(SUBSTITUTE(SUBSTITUTE(SUBSTITUTE(SUBSTITUTE(SUBSTITUTE(SUBSTITUTE(H30,"游泳池","Kolam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0" s="32" t="str">
        <f aca="false">IF(OR(I30&lt;&gt;"",J30&lt;&gt;"",K30&lt;&gt;""),"🔒 "&amp;IF(I30&lt;&gt;"",I30,"")&amp;IF(AND(I30&lt;&gt;"",J30&lt;&gt;"")," · ","")&amp;IF(J30&lt;&gt;"",J30,"")&amp;IF(AND(OR(I30&lt;&gt;"",J30&lt;&gt;""),K30&lt;&gt;"")," · ","")&amp;IF(K30&lt;&gt;"",K30,""),"")</f>
        <v/>
      </c>
      <c r="V30" s="31" t="str">
        <f aca="false">IF(L30&lt;&gt;"","💰 月租 RM "&amp;TEXT(L30,"#,##0"),"")</f>
        <v/>
      </c>
      <c r="W30" s="31" t="str">
        <f aca="false">IF(L30&lt;&gt;"","💰 Monthly Rent RM "&amp;TEXT(L30,"#,##0"),"")</f>
        <v/>
      </c>
      <c r="X30" s="31" t="str">
        <f aca="false">IF(L30&lt;&gt;"","💰 Sewa Bulanan RM "&amp;TEXT(L30,"#,##0"),"")</f>
        <v/>
      </c>
      <c r="Y30" s="33" t="str">
        <f aca="false">IF(D30&lt;&gt;"","您好！我想咨询出租：
🏠 "&amp;D30&amp;"
"&amp;IF(E30&lt;&gt;"","🛏 "&amp;E30&amp;"房"&amp;IF(F30&lt;&gt;""," "&amp;F30&amp;"卫","")&amp;"
","")&amp;IF(G30&lt;&gt;"","📐 "&amp;G30&amp;" sqft
","")&amp;IF(H30&lt;&gt;"","🏊 "&amp;H30&amp;"
","")&amp;IF(U30&lt;&gt;"",U30&amp;"
","")&amp;IF(L30&lt;&gt;"","💰 月租 RM "&amp;TEXT(L30,"#,##0")&amp;"
","")&amp;"
请问还有空档吗？谢谢！","")</f>
        <v/>
      </c>
      <c r="Z30" s="33" t="str">
        <f aca="false">IF(D30&lt;&gt;"","Hi! I'd like to make a rental enquiry:
🏠 "&amp;P30&amp;"
"&amp;IF(E30&lt;&gt;"","🛏 "&amp;E30&amp;"BR"&amp;IF(F30&lt;&gt;""," "&amp;F30&amp;"BA","")&amp;"
","")&amp;IF(G30&lt;&gt;"","📐 "&amp;G30&amp;" sqft
","")&amp;IF(H30&lt;&gt;"","🏊 "&amp;SUBSTITUTE(SUBSTITUTE(SUBSTITUTE(SUBSTITUTE(SUBSTITUTE(SUBSTITUTE(SUBSTITUTE(SUBSTITUTE(SUBSTITUTE(SUBSTITUTE(H30,"游泳池","Swimming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","")&amp;IF(L30&lt;&gt;"","💰 Monthly Rent RM "&amp;TEXT(L30,"#,##0")&amp;"
","")&amp;"
Is this still available? Thank you!","")</f>
        <v/>
      </c>
      <c r="AA30" s="31"/>
      <c r="AB30" s="33" t="str">
        <f aca="false">IF(D30&lt;&gt;"","Helo! Saya ingin membuat pertanyaan sewa:
🏠 "&amp;Q30&amp;"
"&amp;IF(E30&lt;&gt;"","🛏 "&amp;E30&amp;"Bilik"&amp;IF(F30&lt;&gt;""," "&amp;F30&amp;"Bilik Air","")&amp;"
","")&amp;IF(G30&lt;&gt;"","📐 "&amp;G30&amp;" sqft
","")&amp;IF(H30&lt;&gt;"","🏊 "&amp;SUBSTITUTE(SUBSTITUTE(SUBSTITUTE(SUBSTITUTE(SUBSTITUTE(SUBSTITUTE(SUBSTITUTE(SUBSTITUTE(SUBSTITUTE(SUBSTITUTE(H30,"游泳池","Kolam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","")&amp;IF(L30&lt;&gt;"","💰 Sewa Bulanan RM "&amp;TEXT(L30,"#,##0")&amp;"
","")&amp;"
Adakah masih tersedia? Terima kasih!","")</f>
        <v/>
      </c>
    </row>
    <row r="31" customFormat="false" ht="51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9"/>
      <c r="J31" s="29"/>
      <c r="K31" s="29"/>
      <c r="L31" s="28"/>
      <c r="M31" s="30"/>
      <c r="N31" s="31" t="str">
        <f aca="false">IFERROR(ifs(B31="🏢 Condo 公寓","fa-building",B31="🏠 Apartment 单位","fa-home",B31="🌿 即租即住","fa-home",B31="🌿 近国际学校","fa-school",B31="📌 商业旺铺","fa-store",B31="🌟 海景豪宅","fa-water-ladder",B31="📈 投资优选","fa-chart-line",B31="🏞️ 花园住宅","fa-tree",B31="🌟 2026全新地标","fa-drafting-compass",B31="📈 海外投资优选","fa-globe",B31="🌆 核心地段","fa-city",B31="🔥 限时优惠","fa-fire",B31="✅ 永久产权","fa-certificate",B31="🏅 高回报","fa-medal",B31="🏖️ 度假胜地","fa-umbrella-beach",B31="🏫 学区优选","fa-graduation-cap",B31="🛣️ 交通便利","fa-road",B31="🔑 即买即住","fa-key"),"fa-home")</f>
        <v>fa-home</v>
      </c>
      <c r="O31" s="31" t="str">
        <f aca="false">IF(D31&lt;&gt;"",D31,"")</f>
        <v/>
      </c>
      <c r="P31" s="31" t="str">
        <f aca="false">IF(D31&lt;&gt;"",SUBSTITUTE(SUBSTITUTE(SUBSTITUTE(SUBSTITUTE(SUBSTITUTE(SUBSTITUTE(SUBSTITUTE(SUBSTITUTE(SUBSTITUTE(SUBSTITUTE(D31,"亚庇","Kota Kinabalu"),"公寓","Condo"),"排屋","Terrace"),"别墅","Villa"),"店铺","Shop"),"新山","Johor Bahru"),"市中心","City Centre"),"高级","Premium"),"单位","Unit"),"住宅","Residence"),"")</f>
        <v/>
      </c>
      <c r="Q31" s="31" t="str">
        <f aca="false">IF(D31&lt;&gt;"",SUBSTITUTE(SUBSTITUTE(SUBSTITUTE(SUBSTITUTE(SUBSTITUTE(SUBSTITUTE(SUBSTITUTE(SUBSTITUTE(SUBSTITUTE(SUBSTITUTE(D31,"亚庇","Kota Kinabalu"),"公寓","Kondominium"),"排屋","Rumah Teres"),"别墅","Vila"),"店铺","Kedai"),"新山","Johor Bahru"),"市中心","Pusat Bandar"),"高级","Premium"),"单位","Unit"),"住宅","Kediaman"),"")</f>
        <v/>
      </c>
      <c r="R31" s="31" t="str">
        <f aca="false">IF(D31&lt;&gt;"","📍 "&amp;IF(E31&lt;&gt;"",E31&amp;"房","")&amp;IF(F31&lt;&gt;"",F31&amp;"卫 ","")&amp;IF(G31&lt;&gt;"",G31&amp;" sqft","")&amp;IF(AND(OR(E31&lt;&gt;"",G31&lt;&gt;""),H31&lt;&gt;"")," · ","")&amp;IF(H31&lt;&gt;"",H31,""),"")</f>
        <v/>
      </c>
      <c r="S31" s="31" t="str">
        <f aca="false">IF(D31&lt;&gt;"","📍 "&amp;IF(E31&lt;&gt;"",E31&amp;"BR ","")&amp;IF(F31&lt;&gt;"",F31&amp;"BA ","")&amp;IF(G31&lt;&gt;"",G31&amp;" sqft","")&amp;IF(AND(OR(E31&lt;&gt;"",G31&lt;&gt;""),H31&lt;&gt;"")," · ","")&amp;IF(H31&lt;&gt;"",SUBSTITUTE(SUBSTITUTE(SUBSTITUTE(SUBSTITUTE(SUBSTITUTE(SUBSTITUTE(SUBSTITUTE(SUBSTITUTE(SUBSTITUTE(SUBSTITUTE(H31,"游泳池","Swimming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1" s="31" t="str">
        <f aca="false">IF(D31&lt;&gt;"","📍 "&amp;IF(E31&lt;&gt;"",E31&amp;"Bilik ","")&amp;IF(F31&lt;&gt;"",F31&amp;"Bilik Air ","")&amp;IF(G31&lt;&gt;"",G31&amp;" sqft","")&amp;IF(AND(OR(E31&lt;&gt;"",G31&lt;&gt;""),H31&lt;&gt;"")," · ","")&amp;IF(H31&lt;&gt;"",SUBSTITUTE(SUBSTITUTE(SUBSTITUTE(SUBSTITUTE(SUBSTITUTE(SUBSTITUTE(SUBSTITUTE(SUBSTITUTE(SUBSTITUTE(SUBSTITUTE(H31,"游泳池","Kolam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1" s="32" t="str">
        <f aca="false">IF(OR(I31&lt;&gt;"",J31&lt;&gt;"",K31&lt;&gt;""),"🔒 "&amp;IF(I31&lt;&gt;"",I31,"")&amp;IF(AND(I31&lt;&gt;"",J31&lt;&gt;"")," · ","")&amp;IF(J31&lt;&gt;"",J31,"")&amp;IF(AND(OR(I31&lt;&gt;"",J31&lt;&gt;""),K31&lt;&gt;"")," · ","")&amp;IF(K31&lt;&gt;"",K31,""),"")</f>
        <v/>
      </c>
      <c r="V31" s="31" t="str">
        <f aca="false">IF(L31&lt;&gt;"","💰 月租 RM "&amp;TEXT(L31,"#,##0"),"")</f>
        <v/>
      </c>
      <c r="W31" s="31" t="str">
        <f aca="false">IF(L31&lt;&gt;"","💰 Monthly Rent RM "&amp;TEXT(L31,"#,##0"),"")</f>
        <v/>
      </c>
      <c r="X31" s="31" t="str">
        <f aca="false">IF(L31&lt;&gt;"","💰 Sewa Bulanan RM "&amp;TEXT(L31,"#,##0"),"")</f>
        <v/>
      </c>
      <c r="Y31" s="33" t="str">
        <f aca="false">IF(D31&lt;&gt;"","您好！我想咨询出租：
🏠 "&amp;D31&amp;"
"&amp;IF(E31&lt;&gt;"","🛏 "&amp;E31&amp;"房"&amp;IF(F31&lt;&gt;""," "&amp;F31&amp;"卫","")&amp;"
","")&amp;IF(G31&lt;&gt;"","📐 "&amp;G31&amp;" sqft
","")&amp;IF(H31&lt;&gt;"","🏊 "&amp;H31&amp;"
","")&amp;IF(U31&lt;&gt;"",U31&amp;"
","")&amp;IF(L31&lt;&gt;"","💰 月租 RM "&amp;TEXT(L31,"#,##0")&amp;"
","")&amp;"
请问还有空档吗？谢谢！","")</f>
        <v/>
      </c>
      <c r="Z31" s="33" t="str">
        <f aca="false">IF(D31&lt;&gt;"","Hi! I'd like to make a rental enquiry:
🏠 "&amp;P31&amp;"
"&amp;IF(E31&lt;&gt;"","🛏 "&amp;E31&amp;"BR"&amp;IF(F31&lt;&gt;""," "&amp;F31&amp;"BA","")&amp;"
","")&amp;IF(G31&lt;&gt;"","📐 "&amp;G31&amp;" sqft
","")&amp;IF(H31&lt;&gt;"","🏊 "&amp;SUBSTITUTE(SUBSTITUTE(SUBSTITUTE(SUBSTITUTE(SUBSTITUTE(SUBSTITUTE(SUBSTITUTE(SUBSTITUTE(SUBSTITUTE(SUBSTITUTE(H31,"游泳池","Swimming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","")&amp;IF(L31&lt;&gt;"","💰 Monthly Rent RM "&amp;TEXT(L31,"#,##0")&amp;"
","")&amp;"
Is this still available? Thank you!","")</f>
        <v/>
      </c>
      <c r="AA31" s="31"/>
      <c r="AB31" s="33" t="str">
        <f aca="false">IF(D31&lt;&gt;"","Helo! Saya ingin membuat pertanyaan sewa:
🏠 "&amp;Q31&amp;"
"&amp;IF(E31&lt;&gt;"","🛏 "&amp;E31&amp;"Bilik"&amp;IF(F31&lt;&gt;""," "&amp;F31&amp;"Bilik Air","")&amp;"
","")&amp;IF(G31&lt;&gt;"","📐 "&amp;G31&amp;" sqft
","")&amp;IF(H31&lt;&gt;"","🏊 "&amp;SUBSTITUTE(SUBSTITUTE(SUBSTITUTE(SUBSTITUTE(SUBSTITUTE(SUBSTITUTE(SUBSTITUTE(SUBSTITUTE(SUBSTITUTE(SUBSTITUTE(H31,"游泳池","Kolam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","")&amp;IF(L31&lt;&gt;"","💰 Sewa Bulanan RM "&amp;TEXT(L31,"#,##0")&amp;"
","")&amp;"
Adakah masih tersedia? Terima kasih!","")</f>
        <v/>
      </c>
    </row>
    <row r="32" customFormat="false" ht="51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9"/>
      <c r="J32" s="29"/>
      <c r="K32" s="29"/>
      <c r="L32" s="28"/>
      <c r="M32" s="30"/>
      <c r="N32" s="31" t="str">
        <f aca="false">IFERROR(ifs(B32="🏢 Condo 公寓","fa-building",B32="🏠 Apartment 单位","fa-home",B32="🌿 即租即住","fa-home",B32="🌿 近国际学校","fa-school",B32="📌 商业旺铺","fa-store",B32="🌟 海景豪宅","fa-water-ladder",B32="📈 投资优选","fa-chart-line",B32="🏞️ 花园住宅","fa-tree",B32="🌟 2026全新地标","fa-drafting-compass",B32="📈 海外投资优选","fa-globe",B32="🌆 核心地段","fa-city",B32="🔥 限时优惠","fa-fire",B32="✅ 永久产权","fa-certificate",B32="🏅 高回报","fa-medal",B32="🏖️ 度假胜地","fa-umbrella-beach",B32="🏫 学区优选","fa-graduation-cap",B32="🛣️ 交通便利","fa-road",B32="🔑 即买即住","fa-key"),"fa-home")</f>
        <v>fa-home</v>
      </c>
      <c r="O32" s="31" t="str">
        <f aca="false">IF(D32&lt;&gt;"",D32,"")</f>
        <v/>
      </c>
      <c r="P32" s="31" t="str">
        <f aca="false">IF(D32&lt;&gt;"",SUBSTITUTE(SUBSTITUTE(SUBSTITUTE(SUBSTITUTE(SUBSTITUTE(SUBSTITUTE(SUBSTITUTE(SUBSTITUTE(SUBSTITUTE(SUBSTITUTE(D32,"亚庇","Kota Kinabalu"),"公寓","Condo"),"排屋","Terrace"),"别墅","Villa"),"店铺","Shop"),"新山","Johor Bahru"),"市中心","City Centre"),"高级","Premium"),"单位","Unit"),"住宅","Residence"),"")</f>
        <v/>
      </c>
      <c r="Q32" s="31" t="str">
        <f aca="false">IF(D32&lt;&gt;"",SUBSTITUTE(SUBSTITUTE(SUBSTITUTE(SUBSTITUTE(SUBSTITUTE(SUBSTITUTE(SUBSTITUTE(SUBSTITUTE(SUBSTITUTE(SUBSTITUTE(D32,"亚庇","Kota Kinabalu"),"公寓","Kondominium"),"排屋","Rumah Teres"),"别墅","Vila"),"店铺","Kedai"),"新山","Johor Bahru"),"市中心","Pusat Bandar"),"高级","Premium"),"单位","Unit"),"住宅","Kediaman"),"")</f>
        <v/>
      </c>
      <c r="R32" s="31" t="str">
        <f aca="false">IF(D32&lt;&gt;"","📍 "&amp;IF(E32&lt;&gt;"",E32&amp;"房","")&amp;IF(F32&lt;&gt;"",F32&amp;"卫 ","")&amp;IF(G32&lt;&gt;"",G32&amp;" sqft","")&amp;IF(AND(OR(E32&lt;&gt;"",G32&lt;&gt;""),H32&lt;&gt;"")," · ","")&amp;IF(H32&lt;&gt;"",H32,""),"")</f>
        <v/>
      </c>
      <c r="S32" s="31" t="str">
        <f aca="false">IF(D32&lt;&gt;"","📍 "&amp;IF(E32&lt;&gt;"",E32&amp;"BR ","")&amp;IF(F32&lt;&gt;"",F32&amp;"BA ","")&amp;IF(G32&lt;&gt;"",G32&amp;" sqft","")&amp;IF(AND(OR(E32&lt;&gt;"",G32&lt;&gt;""),H32&lt;&gt;"")," · ","")&amp;IF(H32&lt;&gt;"",SUBSTITUTE(SUBSTITUTE(SUBSTITUTE(SUBSTITUTE(SUBSTITUTE(SUBSTITUTE(SUBSTITUTE(SUBSTITUTE(SUBSTITUTE(SUBSTITUTE(H32,"游泳池","Swimming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2" s="31" t="str">
        <f aca="false">IF(D32&lt;&gt;"","📍 "&amp;IF(E32&lt;&gt;"",E32&amp;"Bilik ","")&amp;IF(F32&lt;&gt;"",F32&amp;"Bilik Air ","")&amp;IF(G32&lt;&gt;"",G32&amp;" sqft","")&amp;IF(AND(OR(E32&lt;&gt;"",G32&lt;&gt;""),H32&lt;&gt;"")," · ","")&amp;IF(H32&lt;&gt;"",SUBSTITUTE(SUBSTITUTE(SUBSTITUTE(SUBSTITUTE(SUBSTITUTE(SUBSTITUTE(SUBSTITUTE(SUBSTITUTE(SUBSTITUTE(SUBSTITUTE(H32,"游泳池","Kolam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2" s="32" t="str">
        <f aca="false">IF(OR(I32&lt;&gt;"",J32&lt;&gt;"",K32&lt;&gt;""),"🔒 "&amp;IF(I32&lt;&gt;"",I32,"")&amp;IF(AND(I32&lt;&gt;"",J32&lt;&gt;"")," · ","")&amp;IF(J32&lt;&gt;"",J32,"")&amp;IF(AND(OR(I32&lt;&gt;"",J32&lt;&gt;""),K32&lt;&gt;"")," · ","")&amp;IF(K32&lt;&gt;"",K32,""),"")</f>
        <v/>
      </c>
      <c r="V32" s="31" t="str">
        <f aca="false">IF(L32&lt;&gt;"","💰 月租 RM "&amp;TEXT(L32,"#,##0"),"")</f>
        <v/>
      </c>
      <c r="W32" s="31" t="str">
        <f aca="false">IF(L32&lt;&gt;"","💰 Monthly Rent RM "&amp;TEXT(L32,"#,##0"),"")</f>
        <v/>
      </c>
      <c r="X32" s="31" t="str">
        <f aca="false">IF(L32&lt;&gt;"","💰 Sewa Bulanan RM "&amp;TEXT(L32,"#,##0"),"")</f>
        <v/>
      </c>
      <c r="Y32" s="33" t="str">
        <f aca="false">IF(D32&lt;&gt;"","您好！我想咨询出租：
🏠 "&amp;D32&amp;"
"&amp;IF(E32&lt;&gt;"","🛏 "&amp;E32&amp;"房"&amp;IF(F32&lt;&gt;""," "&amp;F32&amp;"卫","")&amp;"
","")&amp;IF(G32&lt;&gt;"","📐 "&amp;G32&amp;" sqft
","")&amp;IF(H32&lt;&gt;"","🏊 "&amp;H32&amp;"
","")&amp;IF(U32&lt;&gt;"",U32&amp;"
","")&amp;IF(L32&lt;&gt;"","💰 月租 RM "&amp;TEXT(L32,"#,##0")&amp;"
","")&amp;"
请问还有空档吗？谢谢！","")</f>
        <v/>
      </c>
      <c r="Z32" s="33" t="str">
        <f aca="false">IF(D32&lt;&gt;"","Hi! I'd like to make a rental enquiry:
🏠 "&amp;P32&amp;"
"&amp;IF(E32&lt;&gt;"","🛏 "&amp;E32&amp;"BR"&amp;IF(F32&lt;&gt;""," "&amp;F32&amp;"BA","")&amp;"
","")&amp;IF(G32&lt;&gt;"","📐 "&amp;G32&amp;" sqft
","")&amp;IF(H32&lt;&gt;"","🏊 "&amp;SUBSTITUTE(SUBSTITUTE(SUBSTITUTE(SUBSTITUTE(SUBSTITUTE(SUBSTITUTE(SUBSTITUTE(SUBSTITUTE(SUBSTITUTE(SUBSTITUTE(H32,"游泳池","Swimming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","")&amp;IF(L32&lt;&gt;"","💰 Monthly Rent RM "&amp;TEXT(L32,"#,##0")&amp;"
","")&amp;"
Is this still available? Thank you!","")</f>
        <v/>
      </c>
      <c r="AA32" s="31"/>
      <c r="AB32" s="33" t="str">
        <f aca="false">IF(D32&lt;&gt;"","Helo! Saya ingin membuat pertanyaan sewa:
🏠 "&amp;Q32&amp;"
"&amp;IF(E32&lt;&gt;"","🛏 "&amp;E32&amp;"Bilik"&amp;IF(F32&lt;&gt;""," "&amp;F32&amp;"Bilik Air","")&amp;"
","")&amp;IF(G32&lt;&gt;"","📐 "&amp;G32&amp;" sqft
","")&amp;IF(H32&lt;&gt;"","🏊 "&amp;SUBSTITUTE(SUBSTITUTE(SUBSTITUTE(SUBSTITUTE(SUBSTITUTE(SUBSTITUTE(SUBSTITUTE(SUBSTITUTE(SUBSTITUTE(SUBSTITUTE(H32,"游泳池","Kolam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","")&amp;IF(L32&lt;&gt;"","💰 Sewa Bulanan RM "&amp;TEXT(L32,"#,##0")&amp;"
","")&amp;"
Adakah masih tersedia? Terima kasih!","")</f>
        <v/>
      </c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9"/>
      <c r="J33" s="29"/>
      <c r="K33" s="29"/>
      <c r="L33" s="28"/>
      <c r="M33" s="30"/>
      <c r="N33" s="31" t="str">
        <f aca="false">IFERROR(ifs(B33="🏢 Condo 公寓","fa-building",B33="🏠 Apartment 单位","fa-home",B33="🌿 即租即住","fa-home",B33="🌿 近国际学校","fa-school",B33="📌 商业旺铺","fa-store",B33="🌟 海景豪宅","fa-water-ladder",B33="📈 投资优选","fa-chart-line",B33="🏞️ 花园住宅","fa-tree",B33="🌟 2026全新地标","fa-drafting-compass",B33="📈 海外投资优选","fa-globe",B33="🌆 核心地段","fa-city",B33="🔥 限时优惠","fa-fire",B33="✅ 永久产权","fa-certificate",B33="🏅 高回报","fa-medal",B33="🏖️ 度假胜地","fa-umbrella-beach",B33="🏫 学区优选","fa-graduation-cap",B33="🛣️ 交通便利","fa-road",B33="🔑 即买即住","fa-key"),"fa-home")</f>
        <v>fa-home</v>
      </c>
      <c r="O33" s="31" t="str">
        <f aca="false">IF(D33&lt;&gt;"",D33,"")</f>
        <v/>
      </c>
      <c r="P33" s="31" t="str">
        <f aca="false">IF(D33&lt;&gt;"",SUBSTITUTE(SUBSTITUTE(SUBSTITUTE(SUBSTITUTE(SUBSTITUTE(SUBSTITUTE(SUBSTITUTE(SUBSTITUTE(SUBSTITUTE(SUBSTITUTE(D33,"亚庇","Kota Kinabalu"),"公寓","Condo"),"排屋","Terrace"),"别墅","Villa"),"店铺","Shop"),"新山","Johor Bahru"),"市中心","City Centre"),"高级","Premium"),"单位","Unit"),"住宅","Residence"),"")</f>
        <v/>
      </c>
      <c r="Q33" s="31" t="str">
        <f aca="false">IF(D33&lt;&gt;"",SUBSTITUTE(SUBSTITUTE(SUBSTITUTE(SUBSTITUTE(SUBSTITUTE(SUBSTITUTE(SUBSTITUTE(SUBSTITUTE(SUBSTITUTE(SUBSTITUTE(D33,"亚庇","Kota Kinabalu"),"公寓","Kondominium"),"排屋","Rumah Teres"),"别墅","Vila"),"店铺","Kedai"),"新山","Johor Bahru"),"市中心","Pusat Bandar"),"高级","Premium"),"单位","Unit"),"住宅","Kediaman"),"")</f>
        <v/>
      </c>
      <c r="R33" s="31" t="str">
        <f aca="false">IF(D33&lt;&gt;"","📍 "&amp;IF(E33&lt;&gt;"",E33&amp;"房","")&amp;IF(F33&lt;&gt;"",F33&amp;"卫 ","")&amp;IF(G33&lt;&gt;"",G33&amp;" sqft","")&amp;IF(AND(OR(E33&lt;&gt;"",G33&lt;&gt;""),H33&lt;&gt;"")," · ","")&amp;IF(H33&lt;&gt;"",H33,""),"")</f>
        <v/>
      </c>
      <c r="S33" s="31" t="str">
        <f aca="false">IF(D33&lt;&gt;"","📍 "&amp;IF(E33&lt;&gt;"",E33&amp;"BR ","")&amp;IF(F33&lt;&gt;"",F33&amp;"BA ","")&amp;IF(G33&lt;&gt;"",G33&amp;" sqft","")&amp;IF(AND(OR(E33&lt;&gt;"",G33&lt;&gt;""),H33&lt;&gt;"")," · ","")&amp;IF(H33&lt;&gt;"",SUBSTITUTE(SUBSTITUTE(SUBSTITUTE(SUBSTITUTE(SUBSTITUTE(SUBSTITUTE(SUBSTITUTE(SUBSTITUTE(SUBSTITUTE(SUBSTITUTE(H33,"游泳池","Swimming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3" s="31" t="str">
        <f aca="false">IF(D33&lt;&gt;"","📍 "&amp;IF(E33&lt;&gt;"",E33&amp;"Bilik ","")&amp;IF(F33&lt;&gt;"",F33&amp;"Bilik Air ","")&amp;IF(G33&lt;&gt;"",G33&amp;" sqft","")&amp;IF(AND(OR(E33&lt;&gt;"",G33&lt;&gt;""),H33&lt;&gt;"")," · ","")&amp;IF(H33&lt;&gt;"",SUBSTITUTE(SUBSTITUTE(SUBSTITUTE(SUBSTITUTE(SUBSTITUTE(SUBSTITUTE(SUBSTITUTE(SUBSTITUTE(SUBSTITUTE(SUBSTITUTE(H33,"游泳池","Kolam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3" s="32" t="str">
        <f aca="false">IF(OR(I33&lt;&gt;"",J33&lt;&gt;"",K33&lt;&gt;""),"🔒 "&amp;IF(I33&lt;&gt;"",I33,"")&amp;IF(AND(I33&lt;&gt;"",J33&lt;&gt;"")," · ","")&amp;IF(J33&lt;&gt;"",J33,"")&amp;IF(AND(OR(I33&lt;&gt;"",J33&lt;&gt;""),K33&lt;&gt;"")," · ","")&amp;IF(K33&lt;&gt;"",K33,""),"")</f>
        <v/>
      </c>
      <c r="V33" s="31" t="str">
        <f aca="false">IF(L33&lt;&gt;"","💰 月租 RM "&amp;TEXT(L33,"#,##0"),"")</f>
        <v/>
      </c>
      <c r="W33" s="31" t="str">
        <f aca="false">IF(L33&lt;&gt;"","💰 Monthly Rent RM "&amp;TEXT(L33,"#,##0"),"")</f>
        <v/>
      </c>
      <c r="X33" s="31" t="str">
        <f aca="false">IF(L33&lt;&gt;"","💰 Sewa Bulanan RM "&amp;TEXT(L33,"#,##0"),"")</f>
        <v/>
      </c>
      <c r="Y33" s="33" t="str">
        <f aca="false">IF(D33&lt;&gt;"","您好！我想咨询出租：
🏠 "&amp;D33&amp;"
"&amp;IF(E33&lt;&gt;"","🛏 "&amp;E33&amp;"房"&amp;IF(F33&lt;&gt;""," "&amp;F33&amp;"卫","")&amp;"
","")&amp;IF(G33&lt;&gt;"","📐 "&amp;G33&amp;" sqft
","")&amp;IF(H33&lt;&gt;"","🏊 "&amp;H33&amp;"
","")&amp;IF(U33&lt;&gt;"",U33&amp;"
","")&amp;IF(L33&lt;&gt;"","💰 月租 RM "&amp;TEXT(L33,"#,##0")&amp;"
","")&amp;"
请问还有空档吗？谢谢！","")</f>
        <v/>
      </c>
      <c r="Z33" s="33" t="str">
        <f aca="false">IF(D33&lt;&gt;"","Hi! I'd like to make a rental enquiry:
🏠 "&amp;P33&amp;"
"&amp;IF(E33&lt;&gt;"","🛏 "&amp;E33&amp;"BR"&amp;IF(F33&lt;&gt;""," "&amp;F33&amp;"BA","")&amp;"
","")&amp;IF(G33&lt;&gt;"","📐 "&amp;G33&amp;" sqft
","")&amp;IF(H33&lt;&gt;"","🏊 "&amp;SUBSTITUTE(SUBSTITUTE(SUBSTITUTE(SUBSTITUTE(SUBSTITUTE(SUBSTITUTE(SUBSTITUTE(SUBSTITUTE(SUBSTITUTE(SUBSTITUTE(H33,"游泳池","Swimming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","")&amp;IF(L33&lt;&gt;"","💰 Monthly Rent RM "&amp;TEXT(L33,"#,##0")&amp;"
","")&amp;"
Is this still available? Thank you!","")</f>
        <v/>
      </c>
      <c r="AA33" s="31"/>
      <c r="AB33" s="33" t="str">
        <f aca="false">IF(D33&lt;&gt;"","Helo! Saya ingin membuat pertanyaan sewa:
🏠 "&amp;Q33&amp;"
"&amp;IF(E33&lt;&gt;"","🛏 "&amp;E33&amp;"Bilik"&amp;IF(F33&lt;&gt;""," "&amp;F33&amp;"Bilik Air","")&amp;"
","")&amp;IF(G33&lt;&gt;"","📐 "&amp;G33&amp;" sqft
","")&amp;IF(H33&lt;&gt;"","🏊 "&amp;SUBSTITUTE(SUBSTITUTE(SUBSTITUTE(SUBSTITUTE(SUBSTITUTE(SUBSTITUTE(SUBSTITUTE(SUBSTITUTE(SUBSTITUTE(SUBSTITUTE(H33,"游泳池","Kolam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","")&amp;IF(L33&lt;&gt;"","💰 Sewa Bulanan RM "&amp;TEXT(L33,"#,##0")&amp;"
","")&amp;"
Adakah masih tersedia? Terima kasih!","")</f>
        <v/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9"/>
      <c r="J34" s="29"/>
      <c r="K34" s="29"/>
      <c r="L34" s="28"/>
      <c r="M34" s="30"/>
      <c r="N34" s="31" t="str">
        <f aca="false">IFERROR(ifs(B34="🏢 Condo 公寓","fa-building",B34="🏠 Apartment 单位","fa-home",B34="🌿 即租即住","fa-home",B34="🌿 近国际学校","fa-school",B34="📌 商业旺铺","fa-store",B34="🌟 海景豪宅","fa-water-ladder",B34="📈 投资优选","fa-chart-line",B34="🏞️ 花园住宅","fa-tree",B34="🌟 2026全新地标","fa-drafting-compass",B34="📈 海外投资优选","fa-globe",B34="🌆 核心地段","fa-city",B34="🔥 限时优惠","fa-fire",B34="✅ 永久产权","fa-certificate",B34="🏅 高回报","fa-medal",B34="🏖️ 度假胜地","fa-umbrella-beach",B34="🏫 学区优选","fa-graduation-cap",B34="🛣️ 交通便利","fa-road",B34="🔑 即买即住","fa-key"),"fa-home")</f>
        <v>fa-home</v>
      </c>
      <c r="O34" s="31" t="str">
        <f aca="false">IF(D34&lt;&gt;"",D34,"")</f>
        <v/>
      </c>
      <c r="P34" s="31" t="str">
        <f aca="false">IF(D34&lt;&gt;"",SUBSTITUTE(SUBSTITUTE(SUBSTITUTE(SUBSTITUTE(SUBSTITUTE(SUBSTITUTE(SUBSTITUTE(SUBSTITUTE(SUBSTITUTE(SUBSTITUTE(D34,"亚庇","Kota Kinabalu"),"公寓","Condo"),"排屋","Terrace"),"别墅","Villa"),"店铺","Shop"),"新山","Johor Bahru"),"市中心","City Centre"),"高级","Premium"),"单位","Unit"),"住宅","Residence"),"")</f>
        <v/>
      </c>
      <c r="Q34" s="31" t="str">
        <f aca="false">IF(D34&lt;&gt;"",SUBSTITUTE(SUBSTITUTE(SUBSTITUTE(SUBSTITUTE(SUBSTITUTE(SUBSTITUTE(SUBSTITUTE(SUBSTITUTE(SUBSTITUTE(SUBSTITUTE(D34,"亚庇","Kota Kinabalu"),"公寓","Kondominium"),"排屋","Rumah Teres"),"别墅","Vila"),"店铺","Kedai"),"新山","Johor Bahru"),"市中心","Pusat Bandar"),"高级","Premium"),"单位","Unit"),"住宅","Kediaman"),"")</f>
        <v/>
      </c>
      <c r="R34" s="31" t="str">
        <f aca="false">IF(D34&lt;&gt;"","📍 "&amp;IF(E34&lt;&gt;"",E34&amp;"房","")&amp;IF(F34&lt;&gt;"",F34&amp;"卫 ","")&amp;IF(G34&lt;&gt;"",G34&amp;" sqft","")&amp;IF(AND(OR(E34&lt;&gt;"",G34&lt;&gt;""),H34&lt;&gt;"")," · ","")&amp;IF(H34&lt;&gt;"",H34,""),"")</f>
        <v/>
      </c>
      <c r="S34" s="31" t="str">
        <f aca="false">IF(D34&lt;&gt;"","📍 "&amp;IF(E34&lt;&gt;"",E34&amp;"BR ","")&amp;IF(F34&lt;&gt;"",F34&amp;"BA ","")&amp;IF(G34&lt;&gt;"",G34&amp;" sqft","")&amp;IF(AND(OR(E34&lt;&gt;"",G34&lt;&gt;""),H34&lt;&gt;"")," · ","")&amp;IF(H34&lt;&gt;"",SUBSTITUTE(SUBSTITUTE(SUBSTITUTE(SUBSTITUTE(SUBSTITUTE(SUBSTITUTE(SUBSTITUTE(SUBSTITUTE(SUBSTITUTE(SUBSTITUTE(H34,"游泳池","Swimming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4" s="31" t="str">
        <f aca="false">IF(D34&lt;&gt;"","📍 "&amp;IF(E34&lt;&gt;"",E34&amp;"Bilik ","")&amp;IF(F34&lt;&gt;"",F34&amp;"Bilik Air ","")&amp;IF(G34&lt;&gt;"",G34&amp;" sqft","")&amp;IF(AND(OR(E34&lt;&gt;"",G34&lt;&gt;""),H34&lt;&gt;"")," · ","")&amp;IF(H34&lt;&gt;"",SUBSTITUTE(SUBSTITUTE(SUBSTITUTE(SUBSTITUTE(SUBSTITUTE(SUBSTITUTE(SUBSTITUTE(SUBSTITUTE(SUBSTITUTE(SUBSTITUTE(H34,"游泳池","Kolam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4" s="32" t="str">
        <f aca="false">IF(OR(I34&lt;&gt;"",J34&lt;&gt;"",K34&lt;&gt;""),"🔒 "&amp;IF(I34&lt;&gt;"",I34,"")&amp;IF(AND(I34&lt;&gt;"",J34&lt;&gt;"")," · ","")&amp;IF(J34&lt;&gt;"",J34,"")&amp;IF(AND(OR(I34&lt;&gt;"",J34&lt;&gt;""),K34&lt;&gt;"")," · ","")&amp;IF(K34&lt;&gt;"",K34,""),"")</f>
        <v/>
      </c>
      <c r="V34" s="31" t="str">
        <f aca="false">IF(L34&lt;&gt;"","💰 月租 RM "&amp;TEXT(L34,"#,##0"),"")</f>
        <v/>
      </c>
      <c r="W34" s="31" t="str">
        <f aca="false">IF(L34&lt;&gt;"","💰 Monthly Rent RM "&amp;TEXT(L34,"#,##0"),"")</f>
        <v/>
      </c>
      <c r="X34" s="31" t="str">
        <f aca="false">IF(L34&lt;&gt;"","💰 Sewa Bulanan RM "&amp;TEXT(L34,"#,##0"),"")</f>
        <v/>
      </c>
      <c r="Y34" s="33" t="str">
        <f aca="false">IF(D34&lt;&gt;"","您好！我想咨询出租：
🏠 "&amp;D34&amp;"
"&amp;IF(E34&lt;&gt;"","🛏 "&amp;E34&amp;"房"&amp;IF(F34&lt;&gt;""," "&amp;F34&amp;"卫","")&amp;"
","")&amp;IF(G34&lt;&gt;"","📐 "&amp;G34&amp;" sqft
","")&amp;IF(H34&lt;&gt;"","🏊 "&amp;H34&amp;"
","")&amp;IF(U34&lt;&gt;"",U34&amp;"
","")&amp;IF(L34&lt;&gt;"","💰 月租 RM "&amp;TEXT(L34,"#,##0")&amp;"
","")&amp;"
请问还有空档吗？谢谢！","")</f>
        <v/>
      </c>
      <c r="Z34" s="33" t="str">
        <f aca="false">IF(D34&lt;&gt;"","Hi! I'd like to make a rental enquiry:
🏠 "&amp;P34&amp;"
"&amp;IF(E34&lt;&gt;"","🛏 "&amp;E34&amp;"BR"&amp;IF(F34&lt;&gt;""," "&amp;F34&amp;"BA","")&amp;"
","")&amp;IF(G34&lt;&gt;"","📐 "&amp;G34&amp;" sqft
","")&amp;IF(H34&lt;&gt;"","🏊 "&amp;SUBSTITUTE(SUBSTITUTE(SUBSTITUTE(SUBSTITUTE(SUBSTITUTE(SUBSTITUTE(SUBSTITUTE(SUBSTITUTE(SUBSTITUTE(SUBSTITUTE(H34,"游泳池","Swimming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","")&amp;IF(L34&lt;&gt;"","💰 Monthly Rent RM "&amp;TEXT(L34,"#,##0")&amp;"
","")&amp;"
Is this still available? Thank you!","")</f>
        <v/>
      </c>
      <c r="AA34" s="31"/>
      <c r="AB34" s="33" t="str">
        <f aca="false">IF(D34&lt;&gt;"","Helo! Saya ingin membuat pertanyaan sewa:
🏠 "&amp;Q34&amp;"
"&amp;IF(E34&lt;&gt;"","🛏 "&amp;E34&amp;"Bilik"&amp;IF(F34&lt;&gt;""," "&amp;F34&amp;"Bilik Air","")&amp;"
","")&amp;IF(G34&lt;&gt;"","📐 "&amp;G34&amp;" sqft
","")&amp;IF(H34&lt;&gt;"","🏊 "&amp;SUBSTITUTE(SUBSTITUTE(SUBSTITUTE(SUBSTITUTE(SUBSTITUTE(SUBSTITUTE(SUBSTITUTE(SUBSTITUTE(SUBSTITUTE(SUBSTITUTE(H34,"游泳池","Kolam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","")&amp;IF(L34&lt;&gt;"","💰 Sewa Bulanan RM "&amp;TEXT(L34,"#,##0")&amp;"
","")&amp;"
Adakah masih tersedia? Terima kasih!","")</f>
        <v/>
      </c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9"/>
      <c r="J35" s="29"/>
      <c r="K35" s="29"/>
      <c r="L35" s="28"/>
      <c r="M35" s="30"/>
      <c r="N35" s="31" t="str">
        <f aca="false">IFERROR(ifs(B35="🏢 Condo 公寓","fa-building",B35="🏠 Apartment 单位","fa-home",B35="🌿 即租即住","fa-home",B35="🌿 近国际学校","fa-school",B35="📌 商业旺铺","fa-store",B35="🌟 海景豪宅","fa-water-ladder",B35="📈 投资优选","fa-chart-line",B35="🏞️ 花园住宅","fa-tree",B35="🌟 2026全新地标","fa-drafting-compass",B35="📈 海外投资优选","fa-globe",B35="🌆 核心地段","fa-city",B35="🔥 限时优惠","fa-fire",B35="✅ 永久产权","fa-certificate",B35="🏅 高回报","fa-medal",B35="🏖️ 度假胜地","fa-umbrella-beach",B35="🏫 学区优选","fa-graduation-cap",B35="🛣️ 交通便利","fa-road",B35="🔑 即买即住","fa-key"),"fa-home")</f>
        <v>fa-home</v>
      </c>
      <c r="O35" s="31" t="str">
        <f aca="false">IF(D35&lt;&gt;"",D35,"")</f>
        <v/>
      </c>
      <c r="P35" s="31" t="str">
        <f aca="false">IF(D35&lt;&gt;"",SUBSTITUTE(SUBSTITUTE(SUBSTITUTE(SUBSTITUTE(SUBSTITUTE(SUBSTITUTE(SUBSTITUTE(SUBSTITUTE(SUBSTITUTE(SUBSTITUTE(D35,"亚庇","Kota Kinabalu"),"公寓","Condo"),"排屋","Terrace"),"别墅","Villa"),"店铺","Shop"),"新山","Johor Bahru"),"市中心","City Centre"),"高级","Premium"),"单位","Unit"),"住宅","Residence"),"")</f>
        <v/>
      </c>
      <c r="Q35" s="31" t="str">
        <f aca="false">IF(D35&lt;&gt;"",SUBSTITUTE(SUBSTITUTE(SUBSTITUTE(SUBSTITUTE(SUBSTITUTE(SUBSTITUTE(SUBSTITUTE(SUBSTITUTE(SUBSTITUTE(SUBSTITUTE(D35,"亚庇","Kota Kinabalu"),"公寓","Kondominium"),"排屋","Rumah Teres"),"别墅","Vila"),"店铺","Kedai"),"新山","Johor Bahru"),"市中心","Pusat Bandar"),"高级","Premium"),"单位","Unit"),"住宅","Kediaman"),"")</f>
        <v/>
      </c>
      <c r="R35" s="31" t="str">
        <f aca="false">IF(D35&lt;&gt;"","📍 "&amp;IF(E35&lt;&gt;"",E35&amp;"房","")&amp;IF(F35&lt;&gt;"",F35&amp;"卫 ","")&amp;IF(G35&lt;&gt;"",G35&amp;" sqft","")&amp;IF(AND(OR(E35&lt;&gt;"",G35&lt;&gt;""),H35&lt;&gt;"")," · ","")&amp;IF(H35&lt;&gt;"",H35,""),"")</f>
        <v/>
      </c>
      <c r="S35" s="31" t="str">
        <f aca="false">IF(D35&lt;&gt;"","📍 "&amp;IF(E35&lt;&gt;"",E35&amp;"BR ","")&amp;IF(F35&lt;&gt;"",F35&amp;"BA ","")&amp;IF(G35&lt;&gt;"",G35&amp;" sqft","")&amp;IF(AND(OR(E35&lt;&gt;"",G35&lt;&gt;""),H35&lt;&gt;"")," · ","")&amp;IF(H35&lt;&gt;"",SUBSTITUTE(SUBSTITUTE(SUBSTITUTE(SUBSTITUTE(SUBSTITUTE(SUBSTITUTE(SUBSTITUTE(SUBSTITUTE(SUBSTITUTE(SUBSTITUTE(H35,"游泳池","Swimming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5" s="31" t="str">
        <f aca="false">IF(D35&lt;&gt;"","📍 "&amp;IF(E35&lt;&gt;"",E35&amp;"Bilik ","")&amp;IF(F35&lt;&gt;"",F35&amp;"Bilik Air ","")&amp;IF(G35&lt;&gt;"",G35&amp;" sqft","")&amp;IF(AND(OR(E35&lt;&gt;"",G35&lt;&gt;""),H35&lt;&gt;"")," · ","")&amp;IF(H35&lt;&gt;"",SUBSTITUTE(SUBSTITUTE(SUBSTITUTE(SUBSTITUTE(SUBSTITUTE(SUBSTITUTE(SUBSTITUTE(SUBSTITUTE(SUBSTITUTE(SUBSTITUTE(H35,"游泳池","Kolam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5" s="32" t="str">
        <f aca="false">IF(OR(I35&lt;&gt;"",J35&lt;&gt;"",K35&lt;&gt;""),"🔒 "&amp;IF(I35&lt;&gt;"",I35,"")&amp;IF(AND(I35&lt;&gt;"",J35&lt;&gt;"")," · ","")&amp;IF(J35&lt;&gt;"",J35,"")&amp;IF(AND(OR(I35&lt;&gt;"",J35&lt;&gt;""),K35&lt;&gt;"")," · ","")&amp;IF(K35&lt;&gt;"",K35,""),"")</f>
        <v/>
      </c>
      <c r="V35" s="31" t="str">
        <f aca="false">IF(L35&lt;&gt;"","💰 月租 RM "&amp;TEXT(L35,"#,##0"),"")</f>
        <v/>
      </c>
      <c r="W35" s="31" t="str">
        <f aca="false">IF(L35&lt;&gt;"","💰 Monthly Rent RM "&amp;TEXT(L35,"#,##0"),"")</f>
        <v/>
      </c>
      <c r="X35" s="31" t="str">
        <f aca="false">IF(L35&lt;&gt;"","💰 Sewa Bulanan RM "&amp;TEXT(L35,"#,##0"),"")</f>
        <v/>
      </c>
      <c r="Y35" s="33" t="str">
        <f aca="false">IF(D35&lt;&gt;"","您好！我想咨询出租：
🏠 "&amp;D35&amp;"
"&amp;IF(E35&lt;&gt;"","🛏 "&amp;E35&amp;"房"&amp;IF(F35&lt;&gt;""," "&amp;F35&amp;"卫","")&amp;"
","")&amp;IF(G35&lt;&gt;"","📐 "&amp;G35&amp;" sqft
","")&amp;IF(H35&lt;&gt;"","🏊 "&amp;H35&amp;"
","")&amp;IF(U35&lt;&gt;"",U35&amp;"
","")&amp;IF(L35&lt;&gt;"","💰 月租 RM "&amp;TEXT(L35,"#,##0")&amp;"
","")&amp;"
请问还有空档吗？谢谢！","")</f>
        <v/>
      </c>
      <c r="Z35" s="33" t="str">
        <f aca="false">IF(D35&lt;&gt;"","Hi! I'd like to make a rental enquiry:
🏠 "&amp;P35&amp;"
"&amp;IF(E35&lt;&gt;"","🛏 "&amp;E35&amp;"BR"&amp;IF(F35&lt;&gt;""," "&amp;F35&amp;"BA","")&amp;"
","")&amp;IF(G35&lt;&gt;"","📐 "&amp;G35&amp;" sqft
","")&amp;IF(H35&lt;&gt;"","🏊 "&amp;SUBSTITUTE(SUBSTITUTE(SUBSTITUTE(SUBSTITUTE(SUBSTITUTE(SUBSTITUTE(SUBSTITUTE(SUBSTITUTE(SUBSTITUTE(SUBSTITUTE(H35,"游泳池","Swimming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","")&amp;IF(L35&lt;&gt;"","💰 Monthly Rent RM "&amp;TEXT(L35,"#,##0")&amp;"
","")&amp;"
Is this still available? Thank you!","")</f>
        <v/>
      </c>
      <c r="AA35" s="31"/>
      <c r="AB35" s="33" t="str">
        <f aca="false">IF(D35&lt;&gt;"","Helo! Saya ingin membuat pertanyaan sewa:
🏠 "&amp;Q35&amp;"
"&amp;IF(E35&lt;&gt;"","🛏 "&amp;E35&amp;"Bilik"&amp;IF(F35&lt;&gt;""," "&amp;F35&amp;"Bilik Air","")&amp;"
","")&amp;IF(G35&lt;&gt;"","📐 "&amp;G35&amp;" sqft
","")&amp;IF(H35&lt;&gt;"","🏊 "&amp;SUBSTITUTE(SUBSTITUTE(SUBSTITUTE(SUBSTITUTE(SUBSTITUTE(SUBSTITUTE(SUBSTITUTE(SUBSTITUTE(SUBSTITUTE(SUBSTITUTE(H35,"游泳池","Kolam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","")&amp;IF(L35&lt;&gt;"","💰 Sewa Bulanan RM "&amp;TEXT(L35,"#,##0")&amp;"
","")&amp;"
Adakah masih tersedia? Terima kasih!","")</f>
        <v/>
      </c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9"/>
      <c r="J36" s="29"/>
      <c r="K36" s="29"/>
      <c r="L36" s="28"/>
      <c r="M36" s="30"/>
      <c r="N36" s="31" t="str">
        <f aca="false">IFERROR(ifs(B36="🏢 Condo 公寓","fa-building",B36="🏠 Apartment 单位","fa-home",B36="🌿 即租即住","fa-home",B36="🌿 近国际学校","fa-school",B36="📌 商业旺铺","fa-store",B36="🌟 海景豪宅","fa-water-ladder",B36="📈 投资优选","fa-chart-line",B36="🏞️ 花园住宅","fa-tree",B36="🌟 2026全新地标","fa-drafting-compass",B36="📈 海外投资优选","fa-globe",B36="🌆 核心地段","fa-city",B36="🔥 限时优惠","fa-fire",B36="✅ 永久产权","fa-certificate",B36="🏅 高回报","fa-medal",B36="🏖️ 度假胜地","fa-umbrella-beach",B36="🏫 学区优选","fa-graduation-cap",B36="🛣️ 交通便利","fa-road",B36="🔑 即买即住","fa-key"),"fa-home")</f>
        <v>fa-home</v>
      </c>
      <c r="O36" s="31" t="str">
        <f aca="false">IF(D36&lt;&gt;"",D36,"")</f>
        <v/>
      </c>
      <c r="P36" s="31" t="str">
        <f aca="false">IF(D36&lt;&gt;"",SUBSTITUTE(SUBSTITUTE(SUBSTITUTE(SUBSTITUTE(SUBSTITUTE(SUBSTITUTE(SUBSTITUTE(SUBSTITUTE(SUBSTITUTE(SUBSTITUTE(D36,"亚庇","Kota Kinabalu"),"公寓","Condo"),"排屋","Terrace"),"别墅","Villa"),"店铺","Shop"),"新山","Johor Bahru"),"市中心","City Centre"),"高级","Premium"),"单位","Unit"),"住宅","Residence"),"")</f>
        <v/>
      </c>
      <c r="Q36" s="31" t="str">
        <f aca="false">IF(D36&lt;&gt;"",SUBSTITUTE(SUBSTITUTE(SUBSTITUTE(SUBSTITUTE(SUBSTITUTE(SUBSTITUTE(SUBSTITUTE(SUBSTITUTE(SUBSTITUTE(SUBSTITUTE(D36,"亚庇","Kota Kinabalu"),"公寓","Kondominium"),"排屋","Rumah Teres"),"别墅","Vila"),"店铺","Kedai"),"新山","Johor Bahru"),"市中心","Pusat Bandar"),"高级","Premium"),"单位","Unit"),"住宅","Kediaman"),"")</f>
        <v/>
      </c>
      <c r="R36" s="31" t="str">
        <f aca="false">IF(D36&lt;&gt;"","📍 "&amp;IF(E36&lt;&gt;"",E36&amp;"房","")&amp;IF(F36&lt;&gt;"",F36&amp;"卫 ","")&amp;IF(G36&lt;&gt;"",G36&amp;" sqft","")&amp;IF(AND(OR(E36&lt;&gt;"",G36&lt;&gt;""),H36&lt;&gt;"")," · ","")&amp;IF(H36&lt;&gt;"",H36,""),"")</f>
        <v/>
      </c>
      <c r="S36" s="31" t="str">
        <f aca="false">IF(D36&lt;&gt;"","📍 "&amp;IF(E36&lt;&gt;"",E36&amp;"BR ","")&amp;IF(F36&lt;&gt;"",F36&amp;"BA ","")&amp;IF(G36&lt;&gt;"",G36&amp;" sqft","")&amp;IF(AND(OR(E36&lt;&gt;"",G36&lt;&gt;""),H36&lt;&gt;"")," · ","")&amp;IF(H36&lt;&gt;"",SUBSTITUTE(SUBSTITUTE(SUBSTITUTE(SUBSTITUTE(SUBSTITUTE(SUBSTITUTE(SUBSTITUTE(SUBSTITUTE(SUBSTITUTE(SUBSTITUTE(H36,"游泳池","Swimming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6" s="31" t="str">
        <f aca="false">IF(D36&lt;&gt;"","📍 "&amp;IF(E36&lt;&gt;"",E36&amp;"Bilik ","")&amp;IF(F36&lt;&gt;"",F36&amp;"Bilik Air ","")&amp;IF(G36&lt;&gt;"",G36&amp;" sqft","")&amp;IF(AND(OR(E36&lt;&gt;"",G36&lt;&gt;""),H36&lt;&gt;"")," · ","")&amp;IF(H36&lt;&gt;"",SUBSTITUTE(SUBSTITUTE(SUBSTITUTE(SUBSTITUTE(SUBSTITUTE(SUBSTITUTE(SUBSTITUTE(SUBSTITUTE(SUBSTITUTE(SUBSTITUTE(H36,"游泳池","Kolam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6" s="32" t="str">
        <f aca="false">IF(OR(I36&lt;&gt;"",J36&lt;&gt;"",K36&lt;&gt;""),"🔒 "&amp;IF(I36&lt;&gt;"",I36,"")&amp;IF(AND(I36&lt;&gt;"",J36&lt;&gt;"")," · ","")&amp;IF(J36&lt;&gt;"",J36,"")&amp;IF(AND(OR(I36&lt;&gt;"",J36&lt;&gt;""),K36&lt;&gt;"")," · ","")&amp;IF(K36&lt;&gt;"",K36,""),"")</f>
        <v/>
      </c>
      <c r="V36" s="31" t="str">
        <f aca="false">IF(L36&lt;&gt;"","💰 月租 RM "&amp;TEXT(L36,"#,##0"),"")</f>
        <v/>
      </c>
      <c r="W36" s="31" t="str">
        <f aca="false">IF(L36&lt;&gt;"","💰 Monthly Rent RM "&amp;TEXT(L36,"#,##0"),"")</f>
        <v/>
      </c>
      <c r="X36" s="31" t="str">
        <f aca="false">IF(L36&lt;&gt;"","💰 Sewa Bulanan RM "&amp;TEXT(L36,"#,##0"),"")</f>
        <v/>
      </c>
      <c r="Y36" s="33" t="str">
        <f aca="false">IF(D36&lt;&gt;"","您好！我想咨询出租：
🏠 "&amp;D36&amp;"
"&amp;IF(E36&lt;&gt;"","🛏 "&amp;E36&amp;"房"&amp;IF(F36&lt;&gt;""," "&amp;F36&amp;"卫","")&amp;"
","")&amp;IF(G36&lt;&gt;"","📐 "&amp;G36&amp;" sqft
","")&amp;IF(H36&lt;&gt;"","🏊 "&amp;H36&amp;"
","")&amp;IF(U36&lt;&gt;"",U36&amp;"
","")&amp;IF(L36&lt;&gt;"","💰 月租 RM "&amp;TEXT(L36,"#,##0")&amp;"
","")&amp;"
请问还有空档吗？谢谢！","")</f>
        <v/>
      </c>
      <c r="Z36" s="33" t="str">
        <f aca="false">IF(D36&lt;&gt;"","Hi! I'd like to make a rental enquiry:
🏠 "&amp;P36&amp;"
"&amp;IF(E36&lt;&gt;"","🛏 "&amp;E36&amp;"BR"&amp;IF(F36&lt;&gt;""," "&amp;F36&amp;"BA","")&amp;"
","")&amp;IF(G36&lt;&gt;"","📐 "&amp;G36&amp;" sqft
","")&amp;IF(H36&lt;&gt;"","🏊 "&amp;SUBSTITUTE(SUBSTITUTE(SUBSTITUTE(SUBSTITUTE(SUBSTITUTE(SUBSTITUTE(SUBSTITUTE(SUBSTITUTE(SUBSTITUTE(SUBSTITUTE(H36,"游泳池","Swimming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","")&amp;IF(L36&lt;&gt;"","💰 Monthly Rent RM "&amp;TEXT(L36,"#,##0")&amp;"
","")&amp;"
Is this still available? Thank you!","")</f>
        <v/>
      </c>
      <c r="AA36" s="31"/>
      <c r="AB36" s="33" t="str">
        <f aca="false">IF(D36&lt;&gt;"","Helo! Saya ingin membuat pertanyaan sewa:
🏠 "&amp;Q36&amp;"
"&amp;IF(E36&lt;&gt;"","🛏 "&amp;E36&amp;"Bilik"&amp;IF(F36&lt;&gt;""," "&amp;F36&amp;"Bilik Air","")&amp;"
","")&amp;IF(G36&lt;&gt;"","📐 "&amp;G36&amp;" sqft
","")&amp;IF(H36&lt;&gt;"","🏊 "&amp;SUBSTITUTE(SUBSTITUTE(SUBSTITUTE(SUBSTITUTE(SUBSTITUTE(SUBSTITUTE(SUBSTITUTE(SUBSTITUTE(SUBSTITUTE(SUBSTITUTE(H36,"游泳池","Kolam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","")&amp;IF(L36&lt;&gt;"","💰 Sewa Bulanan RM "&amp;TEXT(L36,"#,##0")&amp;"
","")&amp;"
Adakah masih tersedia? Terima kasih!","")</f>
        <v/>
      </c>
    </row>
    <row r="37" customFormat="false" ht="1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9"/>
      <c r="J37" s="29"/>
      <c r="K37" s="29"/>
      <c r="L37" s="28"/>
      <c r="M37" s="30"/>
      <c r="N37" s="31" t="str">
        <f aca="false">IFERROR(ifs(B37="🏢 Condo 公寓","fa-building",B37="🏠 Apartment 单位","fa-home",B37="🌿 即租即住","fa-home",B37="🌿 近国际学校","fa-school",B37="📌 商业旺铺","fa-store",B37="🌟 海景豪宅","fa-water-ladder",B37="📈 投资优选","fa-chart-line",B37="🏞️ 花园住宅","fa-tree",B37="🌟 2026全新地标","fa-drafting-compass",B37="📈 海外投资优选","fa-globe",B37="🌆 核心地段","fa-city",B37="🔥 限时优惠","fa-fire",B37="✅ 永久产权","fa-certificate",B37="🏅 高回报","fa-medal",B37="🏖️ 度假胜地","fa-umbrella-beach",B37="🏫 学区优选","fa-graduation-cap",B37="🛣️ 交通便利","fa-road",B37="🔑 即买即住","fa-key"),"fa-home")</f>
        <v>fa-home</v>
      </c>
      <c r="O37" s="31" t="str">
        <f aca="false">IF(D37&lt;&gt;"",D37,"")</f>
        <v/>
      </c>
      <c r="P37" s="31" t="str">
        <f aca="false">IF(D37&lt;&gt;"",SUBSTITUTE(SUBSTITUTE(SUBSTITUTE(SUBSTITUTE(SUBSTITUTE(SUBSTITUTE(SUBSTITUTE(SUBSTITUTE(SUBSTITUTE(SUBSTITUTE(D37,"亚庇","Kota Kinabalu"),"公寓","Condo"),"排屋","Terrace"),"别墅","Villa"),"店铺","Shop"),"新山","Johor Bahru"),"市中心","City Centre"),"高级","Premium"),"单位","Unit"),"住宅","Residence"),"")</f>
        <v/>
      </c>
      <c r="Q37" s="31" t="str">
        <f aca="false">IF(D37&lt;&gt;"",SUBSTITUTE(SUBSTITUTE(SUBSTITUTE(SUBSTITUTE(SUBSTITUTE(SUBSTITUTE(SUBSTITUTE(SUBSTITUTE(SUBSTITUTE(SUBSTITUTE(D37,"亚庇","Kota Kinabalu"),"公寓","Kondominium"),"排屋","Rumah Teres"),"别墅","Vila"),"店铺","Kedai"),"新山","Johor Bahru"),"市中心","Pusat Bandar"),"高级","Premium"),"单位","Unit"),"住宅","Kediaman"),"")</f>
        <v/>
      </c>
      <c r="R37" s="31" t="str">
        <f aca="false">IF(D37&lt;&gt;"","📍 "&amp;IF(E37&lt;&gt;"",E37&amp;"房","")&amp;IF(F37&lt;&gt;"",F37&amp;"卫 ","")&amp;IF(G37&lt;&gt;"",G37&amp;" sqft","")&amp;IF(AND(OR(E37&lt;&gt;"",G37&lt;&gt;""),H37&lt;&gt;"")," · ","")&amp;IF(H37&lt;&gt;"",H37,""),"")</f>
        <v/>
      </c>
      <c r="S37" s="31" t="str">
        <f aca="false">IF(D37&lt;&gt;"","📍 "&amp;IF(E37&lt;&gt;"",E37&amp;"BR ","")&amp;IF(F37&lt;&gt;"",F37&amp;"BA ","")&amp;IF(G37&lt;&gt;"",G37&amp;" sqft","")&amp;IF(AND(OR(E37&lt;&gt;"",G37&lt;&gt;""),H37&lt;&gt;"")," · ","")&amp;IF(H37&lt;&gt;"",SUBSTITUTE(SUBSTITUTE(SUBSTITUTE(SUBSTITUTE(SUBSTITUTE(SUBSTITUTE(SUBSTITUTE(SUBSTITUTE(SUBSTITUTE(SUBSTITUTE(H37,"游泳池","Swimming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7" s="31" t="str">
        <f aca="false">IF(D37&lt;&gt;"","📍 "&amp;IF(E37&lt;&gt;"",E37&amp;"Bilik ","")&amp;IF(F37&lt;&gt;"",F37&amp;"Bilik Air ","")&amp;IF(G37&lt;&gt;"",G37&amp;" sqft","")&amp;IF(AND(OR(E37&lt;&gt;"",G37&lt;&gt;""),H37&lt;&gt;"")," · ","")&amp;IF(H37&lt;&gt;"",SUBSTITUTE(SUBSTITUTE(SUBSTITUTE(SUBSTITUTE(SUBSTITUTE(SUBSTITUTE(SUBSTITUTE(SUBSTITUTE(SUBSTITUTE(SUBSTITUTE(H37,"游泳池","Kolam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7" s="32" t="str">
        <f aca="false">IF(OR(I37&lt;&gt;"",J37&lt;&gt;"",K37&lt;&gt;""),"🔒 "&amp;IF(I37&lt;&gt;"",I37,"")&amp;IF(AND(I37&lt;&gt;"",J37&lt;&gt;"")," · ","")&amp;IF(J37&lt;&gt;"",J37,"")&amp;IF(AND(OR(I37&lt;&gt;"",J37&lt;&gt;""),K37&lt;&gt;"")," · ","")&amp;IF(K37&lt;&gt;"",K37,""),"")</f>
        <v/>
      </c>
      <c r="V37" s="31" t="str">
        <f aca="false">IF(L37&lt;&gt;"","💰 月租 RM "&amp;TEXT(L37,"#,##0"),"")</f>
        <v/>
      </c>
      <c r="W37" s="31" t="str">
        <f aca="false">IF(L37&lt;&gt;"","💰 Monthly Rent RM "&amp;TEXT(L37,"#,##0"),"")</f>
        <v/>
      </c>
      <c r="X37" s="31" t="str">
        <f aca="false">IF(L37&lt;&gt;"","💰 Sewa Bulanan RM "&amp;TEXT(L37,"#,##0"),"")</f>
        <v/>
      </c>
      <c r="Y37" s="33" t="str">
        <f aca="false">IF(D37&lt;&gt;"","您好！我想咨询出租：
🏠 "&amp;D37&amp;"
"&amp;IF(E37&lt;&gt;"","🛏 "&amp;E37&amp;"房"&amp;IF(F37&lt;&gt;""," "&amp;F37&amp;"卫","")&amp;"
","")&amp;IF(G37&lt;&gt;"","📐 "&amp;G37&amp;" sqft
","")&amp;IF(H37&lt;&gt;"","🏊 "&amp;H37&amp;"
","")&amp;IF(U37&lt;&gt;"",U37&amp;"
","")&amp;IF(L37&lt;&gt;"","💰 月租 RM "&amp;TEXT(L37,"#,##0")&amp;"
","")&amp;"
请问还有空档吗？谢谢！","")</f>
        <v/>
      </c>
      <c r="Z37" s="33" t="str">
        <f aca="false">IF(D37&lt;&gt;"","Hi! I'd like to make a rental enquiry:
🏠 "&amp;P37&amp;"
"&amp;IF(E37&lt;&gt;"","🛏 "&amp;E37&amp;"BR"&amp;IF(F37&lt;&gt;""," "&amp;F37&amp;"BA","")&amp;"
","")&amp;IF(G37&lt;&gt;"","📐 "&amp;G37&amp;" sqft
","")&amp;IF(H37&lt;&gt;"","🏊 "&amp;SUBSTITUTE(SUBSTITUTE(SUBSTITUTE(SUBSTITUTE(SUBSTITUTE(SUBSTITUTE(SUBSTITUTE(SUBSTITUTE(SUBSTITUTE(SUBSTITUTE(H37,"游泳池","Swimming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","")&amp;IF(L37&lt;&gt;"","💰 Monthly Rent RM "&amp;TEXT(L37,"#,##0")&amp;"
","")&amp;"
Is this still available? Thank you!","")</f>
        <v/>
      </c>
      <c r="AA37" s="31"/>
      <c r="AB37" s="33" t="str">
        <f aca="false">IF(D37&lt;&gt;"","Helo! Saya ingin membuat pertanyaan sewa:
🏠 "&amp;Q37&amp;"
"&amp;IF(E37&lt;&gt;"","🛏 "&amp;E37&amp;"Bilik"&amp;IF(F37&lt;&gt;""," "&amp;F37&amp;"Bilik Air","")&amp;"
","")&amp;IF(G37&lt;&gt;"","📐 "&amp;G37&amp;" sqft
","")&amp;IF(H37&lt;&gt;"","🏊 "&amp;SUBSTITUTE(SUBSTITUTE(SUBSTITUTE(SUBSTITUTE(SUBSTITUTE(SUBSTITUTE(SUBSTITUTE(SUBSTITUTE(SUBSTITUTE(SUBSTITUTE(H37,"游泳池","Kolam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","")&amp;IF(L37&lt;&gt;"","💰 Sewa Bulanan RM "&amp;TEXT(L37,"#,##0")&amp;"
","")&amp;"
Adakah masih tersedia? Terima kasih!","")</f>
        <v/>
      </c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9"/>
      <c r="J38" s="29"/>
      <c r="K38" s="29"/>
      <c r="L38" s="28"/>
      <c r="M38" s="30"/>
      <c r="N38" s="31" t="str">
        <f aca="false">IFERROR(ifs(B38="🏢 Condo 公寓","fa-building",B38="🏠 Apartment 单位","fa-home",B38="🌿 即租即住","fa-home",B38="🌿 近国际学校","fa-school",B38="📌 商业旺铺","fa-store",B38="🌟 海景豪宅","fa-water-ladder",B38="📈 投资优选","fa-chart-line",B38="🏞️ 花园住宅","fa-tree",B38="🌟 2026全新地标","fa-drafting-compass",B38="📈 海外投资优选","fa-globe",B38="🌆 核心地段","fa-city",B38="🔥 限时优惠","fa-fire",B38="✅ 永久产权","fa-certificate",B38="🏅 高回报","fa-medal",B38="🏖️ 度假胜地","fa-umbrella-beach",B38="🏫 学区优选","fa-graduation-cap",B38="🛣️ 交通便利","fa-road",B38="🔑 即买即住","fa-key"),"fa-home")</f>
        <v>fa-home</v>
      </c>
      <c r="O38" s="31" t="str">
        <f aca="false">IF(D38&lt;&gt;"",D38,"")</f>
        <v/>
      </c>
      <c r="P38" s="31" t="str">
        <f aca="false">IF(D38&lt;&gt;"",SUBSTITUTE(SUBSTITUTE(SUBSTITUTE(SUBSTITUTE(SUBSTITUTE(SUBSTITUTE(SUBSTITUTE(SUBSTITUTE(SUBSTITUTE(SUBSTITUTE(D38,"亚庇","Kota Kinabalu"),"公寓","Condo"),"排屋","Terrace"),"别墅","Villa"),"店铺","Shop"),"新山","Johor Bahru"),"市中心","City Centre"),"高级","Premium"),"单位","Unit"),"住宅","Residence"),"")</f>
        <v/>
      </c>
      <c r="Q38" s="31" t="str">
        <f aca="false">IF(D38&lt;&gt;"",SUBSTITUTE(SUBSTITUTE(SUBSTITUTE(SUBSTITUTE(SUBSTITUTE(SUBSTITUTE(SUBSTITUTE(SUBSTITUTE(SUBSTITUTE(SUBSTITUTE(D38,"亚庇","Kota Kinabalu"),"公寓","Kondominium"),"排屋","Rumah Teres"),"别墅","Vila"),"店铺","Kedai"),"新山","Johor Bahru"),"市中心","Pusat Bandar"),"高级","Premium"),"单位","Unit"),"住宅","Kediaman"),"")</f>
        <v/>
      </c>
      <c r="R38" s="31" t="str">
        <f aca="false">IF(D38&lt;&gt;"","📍 "&amp;IF(E38&lt;&gt;"",E38&amp;"房","")&amp;IF(F38&lt;&gt;"",F38&amp;"卫 ","")&amp;IF(G38&lt;&gt;"",G38&amp;" sqft","")&amp;IF(AND(OR(E38&lt;&gt;"",G38&lt;&gt;""),H38&lt;&gt;"")," · ","")&amp;IF(H38&lt;&gt;"",H38,""),"")</f>
        <v/>
      </c>
      <c r="S38" s="31" t="str">
        <f aca="false">IF(D38&lt;&gt;"","📍 "&amp;IF(E38&lt;&gt;"",E38&amp;"BR ","")&amp;IF(F38&lt;&gt;"",F38&amp;"BA ","")&amp;IF(G38&lt;&gt;"",G38&amp;" sqft","")&amp;IF(AND(OR(E38&lt;&gt;"",G38&lt;&gt;""),H38&lt;&gt;"")," · ","")&amp;IF(H38&lt;&gt;"",SUBSTITUTE(SUBSTITUTE(SUBSTITUTE(SUBSTITUTE(SUBSTITUTE(SUBSTITUTE(SUBSTITUTE(SUBSTITUTE(SUBSTITUTE(SUBSTITUTE(H38,"游泳池","Swimming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8" s="31" t="str">
        <f aca="false">IF(D38&lt;&gt;"","📍 "&amp;IF(E38&lt;&gt;"",E38&amp;"Bilik ","")&amp;IF(F38&lt;&gt;"",F38&amp;"Bilik Air ","")&amp;IF(G38&lt;&gt;"",G38&amp;" sqft","")&amp;IF(AND(OR(E38&lt;&gt;"",G38&lt;&gt;""),H38&lt;&gt;"")," · ","")&amp;IF(H38&lt;&gt;"",SUBSTITUTE(SUBSTITUTE(SUBSTITUTE(SUBSTITUTE(SUBSTITUTE(SUBSTITUTE(SUBSTITUTE(SUBSTITUTE(SUBSTITUTE(SUBSTITUTE(H38,"游泳池","Kolam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8" s="32" t="str">
        <f aca="false">IF(OR(I38&lt;&gt;"",J38&lt;&gt;"",K38&lt;&gt;""),"🔒 "&amp;IF(I38&lt;&gt;"",I38,"")&amp;IF(AND(I38&lt;&gt;"",J38&lt;&gt;"")," · ","")&amp;IF(J38&lt;&gt;"",J38,"")&amp;IF(AND(OR(I38&lt;&gt;"",J38&lt;&gt;""),K38&lt;&gt;"")," · ","")&amp;IF(K38&lt;&gt;"",K38,""),"")</f>
        <v/>
      </c>
      <c r="V38" s="31" t="str">
        <f aca="false">IF(L38&lt;&gt;"","💰 月租 RM "&amp;TEXT(L38,"#,##0"),"")</f>
        <v/>
      </c>
      <c r="W38" s="31" t="str">
        <f aca="false">IF(L38&lt;&gt;"","💰 Monthly Rent RM "&amp;TEXT(L38,"#,##0"),"")</f>
        <v/>
      </c>
      <c r="X38" s="31" t="str">
        <f aca="false">IF(L38&lt;&gt;"","💰 Sewa Bulanan RM "&amp;TEXT(L38,"#,##0"),"")</f>
        <v/>
      </c>
      <c r="Y38" s="33" t="str">
        <f aca="false">IF(D38&lt;&gt;"","您好！我想咨询出租：
🏠 "&amp;D38&amp;"
"&amp;IF(E38&lt;&gt;"","🛏 "&amp;E38&amp;"房"&amp;IF(F38&lt;&gt;""," "&amp;F38&amp;"卫","")&amp;"
","")&amp;IF(G38&lt;&gt;"","📐 "&amp;G38&amp;" sqft
","")&amp;IF(H38&lt;&gt;"","🏊 "&amp;H38&amp;"
","")&amp;IF(U38&lt;&gt;"",U38&amp;"
","")&amp;IF(L38&lt;&gt;"","💰 月租 RM "&amp;TEXT(L38,"#,##0")&amp;"
","")&amp;"
请问还有空档吗？谢谢！","")</f>
        <v/>
      </c>
      <c r="Z38" s="33" t="str">
        <f aca="false">IF(D38&lt;&gt;"","Hi! I'd like to make a rental enquiry:
🏠 "&amp;P38&amp;"
"&amp;IF(E38&lt;&gt;"","🛏 "&amp;E38&amp;"BR"&amp;IF(F38&lt;&gt;""," "&amp;F38&amp;"BA","")&amp;"
","")&amp;IF(G38&lt;&gt;"","📐 "&amp;G38&amp;" sqft
","")&amp;IF(H38&lt;&gt;"","🏊 "&amp;SUBSTITUTE(SUBSTITUTE(SUBSTITUTE(SUBSTITUTE(SUBSTITUTE(SUBSTITUTE(SUBSTITUTE(SUBSTITUTE(SUBSTITUTE(SUBSTITUTE(H38,"游泳池","Swimming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","")&amp;IF(L38&lt;&gt;"","💰 Monthly Rent RM "&amp;TEXT(L38,"#,##0")&amp;"
","")&amp;"
Is this still available? Thank you!","")</f>
        <v/>
      </c>
      <c r="AA38" s="31"/>
      <c r="AB38" s="33" t="str">
        <f aca="false">IF(D38&lt;&gt;"","Helo! Saya ingin membuat pertanyaan sewa:
🏠 "&amp;Q38&amp;"
"&amp;IF(E38&lt;&gt;"","🛏 "&amp;E38&amp;"Bilik"&amp;IF(F38&lt;&gt;""," "&amp;F38&amp;"Bilik Air","")&amp;"
","")&amp;IF(G38&lt;&gt;"","📐 "&amp;G38&amp;" sqft
","")&amp;IF(H38&lt;&gt;"","🏊 "&amp;SUBSTITUTE(SUBSTITUTE(SUBSTITUTE(SUBSTITUTE(SUBSTITUTE(SUBSTITUTE(SUBSTITUTE(SUBSTITUTE(SUBSTITUTE(SUBSTITUTE(H38,"游泳池","Kolam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","")&amp;IF(L38&lt;&gt;"","💰 Sewa Bulanan RM "&amp;TEXT(L38,"#,##0")&amp;"
","")&amp;"
Adakah masih tersedia? Terima kasih!","")</f>
        <v/>
      </c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9"/>
      <c r="J39" s="29"/>
      <c r="K39" s="29"/>
      <c r="L39" s="28"/>
      <c r="M39" s="30"/>
      <c r="N39" s="31" t="str">
        <f aca="false">IFERROR(ifs(B39="🏢 Condo 公寓","fa-building",B39="🏠 Apartment 单位","fa-home",B39="🌿 即租即住","fa-home",B39="🌿 近国际学校","fa-school",B39="📌 商业旺铺","fa-store",B39="🌟 海景豪宅","fa-water-ladder",B39="📈 投资优选","fa-chart-line",B39="🏞️ 花园住宅","fa-tree",B39="🌟 2026全新地标","fa-drafting-compass",B39="📈 海外投资优选","fa-globe",B39="🌆 核心地段","fa-city",B39="🔥 限时优惠","fa-fire",B39="✅ 永久产权","fa-certificate",B39="🏅 高回报","fa-medal",B39="🏖️ 度假胜地","fa-umbrella-beach",B39="🏫 学区优选","fa-graduation-cap",B39="🛣️ 交通便利","fa-road",B39="🔑 即买即住","fa-key"),"fa-home")</f>
        <v>fa-home</v>
      </c>
      <c r="O39" s="31" t="str">
        <f aca="false">IF(D39&lt;&gt;"",D39,"")</f>
        <v/>
      </c>
      <c r="P39" s="31" t="str">
        <f aca="false">IF(D39&lt;&gt;"",SUBSTITUTE(SUBSTITUTE(SUBSTITUTE(SUBSTITUTE(SUBSTITUTE(SUBSTITUTE(SUBSTITUTE(SUBSTITUTE(SUBSTITUTE(SUBSTITUTE(D39,"亚庇","Kota Kinabalu"),"公寓","Condo"),"排屋","Terrace"),"别墅","Villa"),"店铺","Shop"),"新山","Johor Bahru"),"市中心","City Centre"),"高级","Premium"),"单位","Unit"),"住宅","Residence"),"")</f>
        <v/>
      </c>
      <c r="Q39" s="31" t="str">
        <f aca="false">IF(D39&lt;&gt;"",SUBSTITUTE(SUBSTITUTE(SUBSTITUTE(SUBSTITUTE(SUBSTITUTE(SUBSTITUTE(SUBSTITUTE(SUBSTITUTE(SUBSTITUTE(SUBSTITUTE(D39,"亚庇","Kota Kinabalu"),"公寓","Kondominium"),"排屋","Rumah Teres"),"别墅","Vila"),"店铺","Kedai"),"新山","Johor Bahru"),"市中心","Pusat Bandar"),"高级","Premium"),"单位","Unit"),"住宅","Kediaman"),"")</f>
        <v/>
      </c>
      <c r="R39" s="31" t="str">
        <f aca="false">IF(D39&lt;&gt;"","📍 "&amp;IF(E39&lt;&gt;"",E39&amp;"房","")&amp;IF(F39&lt;&gt;"",F39&amp;"卫 ","")&amp;IF(G39&lt;&gt;"",G39&amp;" sqft","")&amp;IF(AND(OR(E39&lt;&gt;"",G39&lt;&gt;""),H39&lt;&gt;"")," · ","")&amp;IF(H39&lt;&gt;"",H39,""),"")</f>
        <v/>
      </c>
      <c r="S39" s="31" t="str">
        <f aca="false">IF(D39&lt;&gt;"","📍 "&amp;IF(E39&lt;&gt;"",E39&amp;"BR ","")&amp;IF(F39&lt;&gt;"",F39&amp;"BA ","")&amp;IF(G39&lt;&gt;"",G39&amp;" sqft","")&amp;IF(AND(OR(E39&lt;&gt;"",G39&lt;&gt;""),H39&lt;&gt;"")," · ","")&amp;IF(H39&lt;&gt;"",SUBSTITUTE(SUBSTITUTE(SUBSTITUTE(SUBSTITUTE(SUBSTITUTE(SUBSTITUTE(SUBSTITUTE(SUBSTITUTE(SUBSTITUTE(SUBSTITUTE(H39,"游泳池","Swimming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9" s="31" t="str">
        <f aca="false">IF(D39&lt;&gt;"","📍 "&amp;IF(E39&lt;&gt;"",E39&amp;"Bilik ","")&amp;IF(F39&lt;&gt;"",F39&amp;"Bilik Air ","")&amp;IF(G39&lt;&gt;"",G39&amp;" sqft","")&amp;IF(AND(OR(E39&lt;&gt;"",G39&lt;&gt;""),H39&lt;&gt;"")," · ","")&amp;IF(H39&lt;&gt;"",SUBSTITUTE(SUBSTITUTE(SUBSTITUTE(SUBSTITUTE(SUBSTITUTE(SUBSTITUTE(SUBSTITUTE(SUBSTITUTE(SUBSTITUTE(SUBSTITUTE(H39,"游泳池","Kolam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9" s="32" t="str">
        <f aca="false">IF(OR(I39&lt;&gt;"",J39&lt;&gt;"",K39&lt;&gt;""),"🔒 "&amp;IF(I39&lt;&gt;"",I39,"")&amp;IF(AND(I39&lt;&gt;"",J39&lt;&gt;"")," · ","")&amp;IF(J39&lt;&gt;"",J39,"")&amp;IF(AND(OR(I39&lt;&gt;"",J39&lt;&gt;""),K39&lt;&gt;"")," · ","")&amp;IF(K39&lt;&gt;"",K39,""),"")</f>
        <v/>
      </c>
      <c r="V39" s="31" t="str">
        <f aca="false">IF(L39&lt;&gt;"","💰 月租 RM "&amp;TEXT(L39,"#,##0"),"")</f>
        <v/>
      </c>
      <c r="W39" s="31" t="str">
        <f aca="false">IF(L39&lt;&gt;"","💰 Monthly Rent RM "&amp;TEXT(L39,"#,##0"),"")</f>
        <v/>
      </c>
      <c r="X39" s="31" t="str">
        <f aca="false">IF(L39&lt;&gt;"","💰 Sewa Bulanan RM "&amp;TEXT(L39,"#,##0"),"")</f>
        <v/>
      </c>
      <c r="Y39" s="33" t="str">
        <f aca="false">IF(D39&lt;&gt;"","您好！我想咨询出租：
🏠 "&amp;D39&amp;"
"&amp;IF(E39&lt;&gt;"","🛏 "&amp;E39&amp;"房"&amp;IF(F39&lt;&gt;""," "&amp;F39&amp;"卫","")&amp;"
","")&amp;IF(G39&lt;&gt;"","📐 "&amp;G39&amp;" sqft
","")&amp;IF(H39&lt;&gt;"","🏊 "&amp;H39&amp;"
","")&amp;IF(U39&lt;&gt;"",U39&amp;"
","")&amp;IF(L39&lt;&gt;"","💰 月租 RM "&amp;TEXT(L39,"#,##0")&amp;"
","")&amp;"
请问还有空档吗？谢谢！","")</f>
        <v/>
      </c>
      <c r="Z39" s="33" t="str">
        <f aca="false">IF(D39&lt;&gt;"","Hi! I'd like to make a rental enquiry:
🏠 "&amp;P39&amp;"
"&amp;IF(E39&lt;&gt;"","🛏 "&amp;E39&amp;"BR"&amp;IF(F39&lt;&gt;""," "&amp;F39&amp;"BA","")&amp;"
","")&amp;IF(G39&lt;&gt;"","📐 "&amp;G39&amp;" sqft
","")&amp;IF(H39&lt;&gt;"","🏊 "&amp;SUBSTITUTE(SUBSTITUTE(SUBSTITUTE(SUBSTITUTE(SUBSTITUTE(SUBSTITUTE(SUBSTITUTE(SUBSTITUTE(SUBSTITUTE(SUBSTITUTE(H39,"游泳池","Swimming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","")&amp;IF(L39&lt;&gt;"","💰 Monthly Rent RM "&amp;TEXT(L39,"#,##0")&amp;"
","")&amp;"
Is this still available? Thank you!","")</f>
        <v/>
      </c>
      <c r="AA39" s="31"/>
      <c r="AB39" s="33" t="str">
        <f aca="false">IF(D39&lt;&gt;"","Helo! Saya ingin membuat pertanyaan sewa:
🏠 "&amp;Q39&amp;"
"&amp;IF(E39&lt;&gt;"","🛏 "&amp;E39&amp;"Bilik"&amp;IF(F39&lt;&gt;""," "&amp;F39&amp;"Bilik Air","")&amp;"
","")&amp;IF(G39&lt;&gt;"","📐 "&amp;G39&amp;" sqft
","")&amp;IF(H39&lt;&gt;"","🏊 "&amp;SUBSTITUTE(SUBSTITUTE(SUBSTITUTE(SUBSTITUTE(SUBSTITUTE(SUBSTITUTE(SUBSTITUTE(SUBSTITUTE(SUBSTITUTE(SUBSTITUTE(H39,"游泳池","Kolam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","")&amp;IF(L39&lt;&gt;"","💰 Sewa Bulanan RM "&amp;TEXT(L39,"#,##0")&amp;"
","")&amp;"
Adakah masih tersedia? Terima kasih!","")</f>
        <v/>
      </c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9"/>
      <c r="J40" s="29"/>
      <c r="K40" s="29"/>
      <c r="L40" s="28"/>
      <c r="M40" s="30"/>
      <c r="N40" s="31" t="str">
        <f aca="false">IFERROR(ifs(B40="🏢 Condo 公寓","fa-building",B40="🏠 Apartment 单位","fa-home",B40="🌿 即租即住","fa-home",B40="🌿 近国际学校","fa-school",B40="📌 商业旺铺","fa-store",B40="🌟 海景豪宅","fa-water-ladder",B40="📈 投资优选","fa-chart-line",B40="🏞️ 花园住宅","fa-tree",B40="🌟 2026全新地标","fa-drafting-compass",B40="📈 海外投资优选","fa-globe",B40="🌆 核心地段","fa-city",B40="🔥 限时优惠","fa-fire",B40="✅ 永久产权","fa-certificate",B40="🏅 高回报","fa-medal",B40="🏖️ 度假胜地","fa-umbrella-beach",B40="🏫 学区优选","fa-graduation-cap",B40="🛣️ 交通便利","fa-road",B40="🔑 即买即住","fa-key"),"fa-home")</f>
        <v>fa-home</v>
      </c>
      <c r="O40" s="31" t="str">
        <f aca="false">IF(D40&lt;&gt;"",D40,"")</f>
        <v/>
      </c>
      <c r="P40" s="31" t="str">
        <f aca="false">IF(D40&lt;&gt;"",SUBSTITUTE(SUBSTITUTE(SUBSTITUTE(SUBSTITUTE(SUBSTITUTE(SUBSTITUTE(SUBSTITUTE(SUBSTITUTE(SUBSTITUTE(SUBSTITUTE(D40,"亚庇","Kota Kinabalu"),"公寓","Condo"),"排屋","Terrace"),"别墅","Villa"),"店铺","Shop"),"新山","Johor Bahru"),"市中心","City Centre"),"高级","Premium"),"单位","Unit"),"住宅","Residence"),"")</f>
        <v/>
      </c>
      <c r="Q40" s="31" t="str">
        <f aca="false">IF(D40&lt;&gt;"",SUBSTITUTE(SUBSTITUTE(SUBSTITUTE(SUBSTITUTE(SUBSTITUTE(SUBSTITUTE(SUBSTITUTE(SUBSTITUTE(SUBSTITUTE(SUBSTITUTE(D40,"亚庇","Kota Kinabalu"),"公寓","Kondominium"),"排屋","Rumah Teres"),"别墅","Vila"),"店铺","Kedai"),"新山","Johor Bahru"),"市中心","Pusat Bandar"),"高级","Premium"),"单位","Unit"),"住宅","Kediaman"),"")</f>
        <v/>
      </c>
      <c r="R40" s="31" t="str">
        <f aca="false">IF(D40&lt;&gt;"","📍 "&amp;IF(E40&lt;&gt;"",E40&amp;"房","")&amp;IF(F40&lt;&gt;"",F40&amp;"卫 ","")&amp;IF(G40&lt;&gt;"",G40&amp;" sqft","")&amp;IF(AND(OR(E40&lt;&gt;"",G40&lt;&gt;""),H40&lt;&gt;"")," · ","")&amp;IF(H40&lt;&gt;"",H40,""),"")</f>
        <v/>
      </c>
      <c r="S40" s="31" t="str">
        <f aca="false">IF(D40&lt;&gt;"","📍 "&amp;IF(E40&lt;&gt;"",E40&amp;"BR ","")&amp;IF(F40&lt;&gt;"",F40&amp;"BA ","")&amp;IF(G40&lt;&gt;"",G40&amp;" sqft","")&amp;IF(AND(OR(E40&lt;&gt;"",G40&lt;&gt;""),H40&lt;&gt;"")," · ","")&amp;IF(H40&lt;&gt;"",SUBSTITUTE(SUBSTITUTE(SUBSTITUTE(SUBSTITUTE(SUBSTITUTE(SUBSTITUTE(SUBSTITUTE(SUBSTITUTE(SUBSTITUTE(SUBSTITUTE(H40,"游泳池","Swimming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0" s="31" t="str">
        <f aca="false">IF(D40&lt;&gt;"","📍 "&amp;IF(E40&lt;&gt;"",E40&amp;"Bilik ","")&amp;IF(F40&lt;&gt;"",F40&amp;"Bilik Air ","")&amp;IF(G40&lt;&gt;"",G40&amp;" sqft","")&amp;IF(AND(OR(E40&lt;&gt;"",G40&lt;&gt;""),H40&lt;&gt;"")," · ","")&amp;IF(H40&lt;&gt;"",SUBSTITUTE(SUBSTITUTE(SUBSTITUTE(SUBSTITUTE(SUBSTITUTE(SUBSTITUTE(SUBSTITUTE(SUBSTITUTE(SUBSTITUTE(SUBSTITUTE(H40,"游泳池","Kolam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0" s="32" t="str">
        <f aca="false">IF(OR(I40&lt;&gt;"",J40&lt;&gt;"",K40&lt;&gt;""),"🔒 "&amp;IF(I40&lt;&gt;"",I40,"")&amp;IF(AND(I40&lt;&gt;"",J40&lt;&gt;"")," · ","")&amp;IF(J40&lt;&gt;"",J40,"")&amp;IF(AND(OR(I40&lt;&gt;"",J40&lt;&gt;""),K40&lt;&gt;"")," · ","")&amp;IF(K40&lt;&gt;"",K40,""),"")</f>
        <v/>
      </c>
      <c r="V40" s="31" t="str">
        <f aca="false">IF(L40&lt;&gt;"","💰 月租 RM "&amp;TEXT(L40,"#,##0"),"")</f>
        <v/>
      </c>
      <c r="W40" s="31" t="str">
        <f aca="false">IF(L40&lt;&gt;"","💰 Monthly Rent RM "&amp;TEXT(L40,"#,##0"),"")</f>
        <v/>
      </c>
      <c r="X40" s="31" t="str">
        <f aca="false">IF(L40&lt;&gt;"","💰 Sewa Bulanan RM "&amp;TEXT(L40,"#,##0"),"")</f>
        <v/>
      </c>
      <c r="Y40" s="33" t="str">
        <f aca="false">IF(D40&lt;&gt;"","您好！我想咨询出租：
🏠 "&amp;D40&amp;"
"&amp;IF(E40&lt;&gt;"","🛏 "&amp;E40&amp;"房"&amp;IF(F40&lt;&gt;""," "&amp;F40&amp;"卫","")&amp;"
","")&amp;IF(G40&lt;&gt;"","📐 "&amp;G40&amp;" sqft
","")&amp;IF(H40&lt;&gt;"","🏊 "&amp;H40&amp;"
","")&amp;IF(U40&lt;&gt;"",U40&amp;"
","")&amp;IF(L40&lt;&gt;"","💰 月租 RM "&amp;TEXT(L40,"#,##0")&amp;"
","")&amp;"
请问还有空档吗？谢谢！","")</f>
        <v/>
      </c>
      <c r="Z40" s="33" t="str">
        <f aca="false">IF(D40&lt;&gt;"","Hi! I'd like to make a rental enquiry:
🏠 "&amp;P40&amp;"
"&amp;IF(E40&lt;&gt;"","🛏 "&amp;E40&amp;"BR"&amp;IF(F40&lt;&gt;""," "&amp;F40&amp;"BA","")&amp;"
","")&amp;IF(G40&lt;&gt;"","📐 "&amp;G40&amp;" sqft
","")&amp;IF(H40&lt;&gt;"","🏊 "&amp;SUBSTITUTE(SUBSTITUTE(SUBSTITUTE(SUBSTITUTE(SUBSTITUTE(SUBSTITUTE(SUBSTITUTE(SUBSTITUTE(SUBSTITUTE(SUBSTITUTE(H40,"游泳池","Swimming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","")&amp;IF(L40&lt;&gt;"","💰 Monthly Rent RM "&amp;TEXT(L40,"#,##0")&amp;"
","")&amp;"
Is this still available? Thank you!","")</f>
        <v/>
      </c>
      <c r="AA40" s="31"/>
      <c r="AB40" s="33" t="str">
        <f aca="false">IF(D40&lt;&gt;"","Helo! Saya ingin membuat pertanyaan sewa:
🏠 "&amp;Q40&amp;"
"&amp;IF(E40&lt;&gt;"","🛏 "&amp;E40&amp;"Bilik"&amp;IF(F40&lt;&gt;""," "&amp;F40&amp;"Bilik Air","")&amp;"
","")&amp;IF(G40&lt;&gt;"","📐 "&amp;G40&amp;" sqft
","")&amp;IF(H40&lt;&gt;"","🏊 "&amp;SUBSTITUTE(SUBSTITUTE(SUBSTITUTE(SUBSTITUTE(SUBSTITUTE(SUBSTITUTE(SUBSTITUTE(SUBSTITUTE(SUBSTITUTE(SUBSTITUTE(H40,"游泳池","Kolam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","")&amp;IF(L40&lt;&gt;"","💰 Sewa Bulanan RM "&amp;TEXT(L40,"#,##0")&amp;"
","")&amp;"
Adakah masih tersedia? Terima kasih!","")</f>
        <v/>
      </c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9"/>
      <c r="J41" s="29"/>
      <c r="K41" s="29"/>
      <c r="L41" s="28"/>
      <c r="M41" s="30"/>
      <c r="N41" s="31" t="str">
        <f aca="false">IFERROR(ifs(B41="🏢 Condo 公寓","fa-building",B41="🏠 Apartment 单位","fa-home",B41="🌿 即租即住","fa-home",B41="🌿 近国际学校","fa-school",B41="📌 商业旺铺","fa-store",B41="🌟 海景豪宅","fa-water-ladder",B41="📈 投资优选","fa-chart-line",B41="🏞️ 花园住宅","fa-tree",B41="🌟 2026全新地标","fa-drafting-compass",B41="📈 海外投资优选","fa-globe",B41="🌆 核心地段","fa-city",B41="🔥 限时优惠","fa-fire",B41="✅ 永久产权","fa-certificate",B41="🏅 高回报","fa-medal",B41="🏖️ 度假胜地","fa-umbrella-beach",B41="🏫 学区优选","fa-graduation-cap",B41="🛣️ 交通便利","fa-road",B41="🔑 即买即住","fa-key"),"fa-home")</f>
        <v>fa-home</v>
      </c>
      <c r="O41" s="31" t="str">
        <f aca="false">IF(D41&lt;&gt;"",D41,"")</f>
        <v/>
      </c>
      <c r="P41" s="31" t="str">
        <f aca="false">IF(D41&lt;&gt;"",SUBSTITUTE(SUBSTITUTE(SUBSTITUTE(SUBSTITUTE(SUBSTITUTE(SUBSTITUTE(SUBSTITUTE(SUBSTITUTE(SUBSTITUTE(SUBSTITUTE(D41,"亚庇","Kota Kinabalu"),"公寓","Condo"),"排屋","Terrace"),"别墅","Villa"),"店铺","Shop"),"新山","Johor Bahru"),"市中心","City Centre"),"高级","Premium"),"单位","Unit"),"住宅","Residence"),"")</f>
        <v/>
      </c>
      <c r="Q41" s="31" t="str">
        <f aca="false">IF(D41&lt;&gt;"",SUBSTITUTE(SUBSTITUTE(SUBSTITUTE(SUBSTITUTE(SUBSTITUTE(SUBSTITUTE(SUBSTITUTE(SUBSTITUTE(SUBSTITUTE(SUBSTITUTE(D41,"亚庇","Kota Kinabalu"),"公寓","Kondominium"),"排屋","Rumah Teres"),"别墅","Vila"),"店铺","Kedai"),"新山","Johor Bahru"),"市中心","Pusat Bandar"),"高级","Premium"),"单位","Unit"),"住宅","Kediaman"),"")</f>
        <v/>
      </c>
      <c r="R41" s="31" t="str">
        <f aca="false">IF(D41&lt;&gt;"","📍 "&amp;IF(E41&lt;&gt;"",E41&amp;"房","")&amp;IF(F41&lt;&gt;"",F41&amp;"卫 ","")&amp;IF(G41&lt;&gt;"",G41&amp;" sqft","")&amp;IF(AND(OR(E41&lt;&gt;"",G41&lt;&gt;""),H41&lt;&gt;"")," · ","")&amp;IF(H41&lt;&gt;"",H41,""),"")</f>
        <v/>
      </c>
      <c r="S41" s="31" t="str">
        <f aca="false">IF(D41&lt;&gt;"","📍 "&amp;IF(E41&lt;&gt;"",E41&amp;"BR ","")&amp;IF(F41&lt;&gt;"",F41&amp;"BA ","")&amp;IF(G41&lt;&gt;"",G41&amp;" sqft","")&amp;IF(AND(OR(E41&lt;&gt;"",G41&lt;&gt;""),H41&lt;&gt;"")," · ","")&amp;IF(H41&lt;&gt;"",SUBSTITUTE(SUBSTITUTE(SUBSTITUTE(SUBSTITUTE(SUBSTITUTE(SUBSTITUTE(SUBSTITUTE(SUBSTITUTE(SUBSTITUTE(SUBSTITUTE(H41,"游泳池","Swimming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1" s="31" t="str">
        <f aca="false">IF(D41&lt;&gt;"","📍 "&amp;IF(E41&lt;&gt;"",E41&amp;"Bilik ","")&amp;IF(F41&lt;&gt;"",F41&amp;"Bilik Air ","")&amp;IF(G41&lt;&gt;"",G41&amp;" sqft","")&amp;IF(AND(OR(E41&lt;&gt;"",G41&lt;&gt;""),H41&lt;&gt;"")," · ","")&amp;IF(H41&lt;&gt;"",SUBSTITUTE(SUBSTITUTE(SUBSTITUTE(SUBSTITUTE(SUBSTITUTE(SUBSTITUTE(SUBSTITUTE(SUBSTITUTE(SUBSTITUTE(SUBSTITUTE(H41,"游泳池","Kolam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1" s="32" t="str">
        <f aca="false">IF(OR(I41&lt;&gt;"",J41&lt;&gt;"",K41&lt;&gt;""),"🔒 "&amp;IF(I41&lt;&gt;"",I41,"")&amp;IF(AND(I41&lt;&gt;"",J41&lt;&gt;"")," · ","")&amp;IF(J41&lt;&gt;"",J41,"")&amp;IF(AND(OR(I41&lt;&gt;"",J41&lt;&gt;""),K41&lt;&gt;"")," · ","")&amp;IF(K41&lt;&gt;"",K41,""),"")</f>
        <v/>
      </c>
      <c r="V41" s="31" t="str">
        <f aca="false">IF(L41&lt;&gt;"","💰 月租 RM "&amp;TEXT(L41,"#,##0"),"")</f>
        <v/>
      </c>
      <c r="W41" s="31" t="str">
        <f aca="false">IF(L41&lt;&gt;"","💰 Monthly Rent RM "&amp;TEXT(L41,"#,##0"),"")</f>
        <v/>
      </c>
      <c r="X41" s="31" t="str">
        <f aca="false">IF(L41&lt;&gt;"","💰 Sewa Bulanan RM "&amp;TEXT(L41,"#,##0"),"")</f>
        <v/>
      </c>
      <c r="Y41" s="33" t="str">
        <f aca="false">IF(D41&lt;&gt;"","您好！我想咨询出租：
🏠 "&amp;D41&amp;"
"&amp;IF(E41&lt;&gt;"","🛏 "&amp;E41&amp;"房"&amp;IF(F41&lt;&gt;""," "&amp;F41&amp;"卫","")&amp;"
","")&amp;IF(G41&lt;&gt;"","📐 "&amp;G41&amp;" sqft
","")&amp;IF(H41&lt;&gt;"","🏊 "&amp;H41&amp;"
","")&amp;IF(U41&lt;&gt;"",U41&amp;"
","")&amp;IF(L41&lt;&gt;"","💰 月租 RM "&amp;TEXT(L41,"#,##0")&amp;"
","")&amp;"
请问还有空档吗？谢谢！","")</f>
        <v/>
      </c>
      <c r="Z41" s="33" t="str">
        <f aca="false">IF(D41&lt;&gt;"","Hi! I'd like to make a rental enquiry:
🏠 "&amp;P41&amp;"
"&amp;IF(E41&lt;&gt;"","🛏 "&amp;E41&amp;"BR"&amp;IF(F41&lt;&gt;""," "&amp;F41&amp;"BA","")&amp;"
","")&amp;IF(G41&lt;&gt;"","📐 "&amp;G41&amp;" sqft
","")&amp;IF(H41&lt;&gt;"","🏊 "&amp;SUBSTITUTE(SUBSTITUTE(SUBSTITUTE(SUBSTITUTE(SUBSTITUTE(SUBSTITUTE(SUBSTITUTE(SUBSTITUTE(SUBSTITUTE(SUBSTITUTE(H41,"游泳池","Swimming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","")&amp;IF(L41&lt;&gt;"","💰 Monthly Rent RM "&amp;TEXT(L41,"#,##0")&amp;"
","")&amp;"
Is this still available? Thank you!","")</f>
        <v/>
      </c>
      <c r="AA41" s="31"/>
      <c r="AB41" s="33" t="str">
        <f aca="false">IF(D41&lt;&gt;"","Helo! Saya ingin membuat pertanyaan sewa:
🏠 "&amp;Q41&amp;"
"&amp;IF(E41&lt;&gt;"","🛏 "&amp;E41&amp;"Bilik"&amp;IF(F41&lt;&gt;""," "&amp;F41&amp;"Bilik Air","")&amp;"
","")&amp;IF(G41&lt;&gt;"","📐 "&amp;G41&amp;" sqft
","")&amp;IF(H41&lt;&gt;"","🏊 "&amp;SUBSTITUTE(SUBSTITUTE(SUBSTITUTE(SUBSTITUTE(SUBSTITUTE(SUBSTITUTE(SUBSTITUTE(SUBSTITUTE(SUBSTITUTE(SUBSTITUTE(H41,"游泳池","Kolam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","")&amp;IF(L41&lt;&gt;"","💰 Sewa Bulanan RM "&amp;TEXT(L41,"#,##0")&amp;"
","")&amp;"
Adakah masih tersedia? Terima kasih!","")</f>
        <v/>
      </c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9"/>
      <c r="J42" s="29"/>
      <c r="K42" s="29"/>
      <c r="L42" s="28"/>
      <c r="M42" s="30"/>
      <c r="N42" s="31" t="str">
        <f aca="false">IFERROR(ifs(B42="🏢 Condo 公寓","fa-building",B42="🏠 Apartment 单位","fa-home",B42="🌿 即租即住","fa-home",B42="🌿 近国际学校","fa-school",B42="📌 商业旺铺","fa-store",B42="🌟 海景豪宅","fa-water-ladder",B42="📈 投资优选","fa-chart-line",B42="🏞️ 花园住宅","fa-tree",B42="🌟 2026全新地标","fa-drafting-compass",B42="📈 海外投资优选","fa-globe",B42="🌆 核心地段","fa-city",B42="🔥 限时优惠","fa-fire",B42="✅ 永久产权","fa-certificate",B42="🏅 高回报","fa-medal",B42="🏖️ 度假胜地","fa-umbrella-beach",B42="🏫 学区优选","fa-graduation-cap",B42="🛣️ 交通便利","fa-road",B42="🔑 即买即住","fa-key"),"fa-home")</f>
        <v>fa-home</v>
      </c>
      <c r="O42" s="31" t="str">
        <f aca="false">IF(D42&lt;&gt;"",D42,"")</f>
        <v/>
      </c>
      <c r="P42" s="31" t="str">
        <f aca="false">IF(D42&lt;&gt;"",SUBSTITUTE(SUBSTITUTE(SUBSTITUTE(SUBSTITUTE(SUBSTITUTE(SUBSTITUTE(SUBSTITUTE(SUBSTITUTE(SUBSTITUTE(SUBSTITUTE(D42,"亚庇","Kota Kinabalu"),"公寓","Condo"),"排屋","Terrace"),"别墅","Villa"),"店铺","Shop"),"新山","Johor Bahru"),"市中心","City Centre"),"高级","Premium"),"单位","Unit"),"住宅","Residence"),"")</f>
        <v/>
      </c>
      <c r="Q42" s="31" t="str">
        <f aca="false">IF(D42&lt;&gt;"",SUBSTITUTE(SUBSTITUTE(SUBSTITUTE(SUBSTITUTE(SUBSTITUTE(SUBSTITUTE(SUBSTITUTE(SUBSTITUTE(SUBSTITUTE(SUBSTITUTE(D42,"亚庇","Kota Kinabalu"),"公寓","Kondominium"),"排屋","Rumah Teres"),"别墅","Vila"),"店铺","Kedai"),"新山","Johor Bahru"),"市中心","Pusat Bandar"),"高级","Premium"),"单位","Unit"),"住宅","Kediaman"),"")</f>
        <v/>
      </c>
      <c r="R42" s="31" t="str">
        <f aca="false">IF(D42&lt;&gt;"","📍 "&amp;IF(E42&lt;&gt;"",E42&amp;"房","")&amp;IF(F42&lt;&gt;"",F42&amp;"卫 ","")&amp;IF(G42&lt;&gt;"",G42&amp;" sqft","")&amp;IF(AND(OR(E42&lt;&gt;"",G42&lt;&gt;""),H42&lt;&gt;"")," · ","")&amp;IF(H42&lt;&gt;"",H42,""),"")</f>
        <v/>
      </c>
      <c r="S42" s="31" t="str">
        <f aca="false">IF(D42&lt;&gt;"","📍 "&amp;IF(E42&lt;&gt;"",E42&amp;"BR ","")&amp;IF(F42&lt;&gt;"",F42&amp;"BA ","")&amp;IF(G42&lt;&gt;"",G42&amp;" sqft","")&amp;IF(AND(OR(E42&lt;&gt;"",G42&lt;&gt;""),H42&lt;&gt;"")," · ","")&amp;IF(H42&lt;&gt;"",SUBSTITUTE(SUBSTITUTE(SUBSTITUTE(SUBSTITUTE(SUBSTITUTE(SUBSTITUTE(SUBSTITUTE(SUBSTITUTE(SUBSTITUTE(SUBSTITUTE(H42,"游泳池","Swimming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2" s="31" t="str">
        <f aca="false">IF(D42&lt;&gt;"","📍 "&amp;IF(E42&lt;&gt;"",E42&amp;"Bilik ","")&amp;IF(F42&lt;&gt;"",F42&amp;"Bilik Air ","")&amp;IF(G42&lt;&gt;"",G42&amp;" sqft","")&amp;IF(AND(OR(E42&lt;&gt;"",G42&lt;&gt;""),H42&lt;&gt;"")," · ","")&amp;IF(H42&lt;&gt;"",SUBSTITUTE(SUBSTITUTE(SUBSTITUTE(SUBSTITUTE(SUBSTITUTE(SUBSTITUTE(SUBSTITUTE(SUBSTITUTE(SUBSTITUTE(SUBSTITUTE(H42,"游泳池","Kolam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2" s="32" t="str">
        <f aca="false">IF(OR(I42&lt;&gt;"",J42&lt;&gt;"",K42&lt;&gt;""),"🔒 "&amp;IF(I42&lt;&gt;"",I42,"")&amp;IF(AND(I42&lt;&gt;"",J42&lt;&gt;"")," · ","")&amp;IF(J42&lt;&gt;"",J42,"")&amp;IF(AND(OR(I42&lt;&gt;"",J42&lt;&gt;""),K42&lt;&gt;"")," · ","")&amp;IF(K42&lt;&gt;"",K42,""),"")</f>
        <v/>
      </c>
      <c r="V42" s="31" t="str">
        <f aca="false">IF(L42&lt;&gt;"","💰 月租 RM "&amp;TEXT(L42,"#,##0"),"")</f>
        <v/>
      </c>
      <c r="W42" s="31" t="str">
        <f aca="false">IF(L42&lt;&gt;"","💰 Monthly Rent RM "&amp;TEXT(L42,"#,##0"),"")</f>
        <v/>
      </c>
      <c r="X42" s="31" t="str">
        <f aca="false">IF(L42&lt;&gt;"","💰 Sewa Bulanan RM "&amp;TEXT(L42,"#,##0"),"")</f>
        <v/>
      </c>
      <c r="Y42" s="33" t="str">
        <f aca="false">IF(D42&lt;&gt;"","您好！我想咨询出租：
🏠 "&amp;D42&amp;"
"&amp;IF(E42&lt;&gt;"","🛏 "&amp;E42&amp;"房"&amp;IF(F42&lt;&gt;""," "&amp;F42&amp;"卫","")&amp;"
","")&amp;IF(G42&lt;&gt;"","📐 "&amp;G42&amp;" sqft
","")&amp;IF(H42&lt;&gt;"","🏊 "&amp;H42&amp;"
","")&amp;IF(U42&lt;&gt;"",U42&amp;"
","")&amp;IF(L42&lt;&gt;"","💰 月租 RM "&amp;TEXT(L42,"#,##0")&amp;"
","")&amp;"
请问还有空档吗？谢谢！","")</f>
        <v/>
      </c>
      <c r="Z42" s="33" t="str">
        <f aca="false">IF(D42&lt;&gt;"","Hi! I'd like to make a rental enquiry:
🏠 "&amp;P42&amp;"
"&amp;IF(E42&lt;&gt;"","🛏 "&amp;E42&amp;"BR"&amp;IF(F42&lt;&gt;""," "&amp;F42&amp;"BA","")&amp;"
","")&amp;IF(G42&lt;&gt;"","📐 "&amp;G42&amp;" sqft
","")&amp;IF(H42&lt;&gt;"","🏊 "&amp;SUBSTITUTE(SUBSTITUTE(SUBSTITUTE(SUBSTITUTE(SUBSTITUTE(SUBSTITUTE(SUBSTITUTE(SUBSTITUTE(SUBSTITUTE(SUBSTITUTE(H42,"游泳池","Swimming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","")&amp;IF(L42&lt;&gt;"","💰 Monthly Rent RM "&amp;TEXT(L42,"#,##0")&amp;"
","")&amp;"
Is this still available? Thank you!","")</f>
        <v/>
      </c>
      <c r="AA42" s="31"/>
      <c r="AB42" s="33" t="str">
        <f aca="false">IF(D42&lt;&gt;"","Helo! Saya ingin membuat pertanyaan sewa:
🏠 "&amp;Q42&amp;"
"&amp;IF(E42&lt;&gt;"","🛏 "&amp;E42&amp;"Bilik"&amp;IF(F42&lt;&gt;""," "&amp;F42&amp;"Bilik Air","")&amp;"
","")&amp;IF(G42&lt;&gt;"","📐 "&amp;G42&amp;" sqft
","")&amp;IF(H42&lt;&gt;"","🏊 "&amp;SUBSTITUTE(SUBSTITUTE(SUBSTITUTE(SUBSTITUTE(SUBSTITUTE(SUBSTITUTE(SUBSTITUTE(SUBSTITUTE(SUBSTITUTE(SUBSTITUTE(H42,"游泳池","Kolam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","")&amp;IF(L42&lt;&gt;"","💰 Sewa Bulanan RM "&amp;TEXT(L42,"#,##0")&amp;"
","")&amp;"
Adakah masih tersedia? Terima kasih!","")</f>
        <v/>
      </c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9"/>
      <c r="J43" s="29"/>
      <c r="K43" s="29"/>
      <c r="L43" s="28"/>
      <c r="M43" s="30"/>
      <c r="N43" s="31" t="str">
        <f aca="false">IFERROR(ifs(B43="🏢 Condo 公寓","fa-building",B43="🏠 Apartment 单位","fa-home",B43="🌿 即租即住","fa-home",B43="🌿 近国际学校","fa-school",B43="📌 商业旺铺","fa-store",B43="🌟 海景豪宅","fa-water-ladder",B43="📈 投资优选","fa-chart-line",B43="🏞️ 花园住宅","fa-tree",B43="🌟 2026全新地标","fa-drafting-compass",B43="📈 海外投资优选","fa-globe",B43="🌆 核心地段","fa-city",B43="🔥 限时优惠","fa-fire",B43="✅ 永久产权","fa-certificate",B43="🏅 高回报","fa-medal",B43="🏖️ 度假胜地","fa-umbrella-beach",B43="🏫 学区优选","fa-graduation-cap",B43="🛣️ 交通便利","fa-road",B43="🔑 即买即住","fa-key"),"fa-home")</f>
        <v>fa-home</v>
      </c>
      <c r="O43" s="31" t="str">
        <f aca="false">IF(D43&lt;&gt;"",D43,"")</f>
        <v/>
      </c>
      <c r="P43" s="31" t="str">
        <f aca="false">IF(D43&lt;&gt;"",SUBSTITUTE(SUBSTITUTE(SUBSTITUTE(SUBSTITUTE(SUBSTITUTE(SUBSTITUTE(SUBSTITUTE(SUBSTITUTE(SUBSTITUTE(SUBSTITUTE(D43,"亚庇","Kota Kinabalu"),"公寓","Condo"),"排屋","Terrace"),"别墅","Villa"),"店铺","Shop"),"新山","Johor Bahru"),"市中心","City Centre"),"高级","Premium"),"单位","Unit"),"住宅","Residence"),"")</f>
        <v/>
      </c>
      <c r="Q43" s="31" t="str">
        <f aca="false">IF(D43&lt;&gt;"",SUBSTITUTE(SUBSTITUTE(SUBSTITUTE(SUBSTITUTE(SUBSTITUTE(SUBSTITUTE(SUBSTITUTE(SUBSTITUTE(SUBSTITUTE(SUBSTITUTE(D43,"亚庇","Kota Kinabalu"),"公寓","Kondominium"),"排屋","Rumah Teres"),"别墅","Vila"),"店铺","Kedai"),"新山","Johor Bahru"),"市中心","Pusat Bandar"),"高级","Premium"),"单位","Unit"),"住宅","Kediaman"),"")</f>
        <v/>
      </c>
      <c r="R43" s="31" t="str">
        <f aca="false">IF(D43&lt;&gt;"","📍 "&amp;IF(E43&lt;&gt;"",E43&amp;"房","")&amp;IF(F43&lt;&gt;"",F43&amp;"卫 ","")&amp;IF(G43&lt;&gt;"",G43&amp;" sqft","")&amp;IF(AND(OR(E43&lt;&gt;"",G43&lt;&gt;""),H43&lt;&gt;"")," · ","")&amp;IF(H43&lt;&gt;"",H43,""),"")</f>
        <v/>
      </c>
      <c r="S43" s="31" t="str">
        <f aca="false">IF(D43&lt;&gt;"","📍 "&amp;IF(E43&lt;&gt;"",E43&amp;"BR ","")&amp;IF(F43&lt;&gt;"",F43&amp;"BA ","")&amp;IF(G43&lt;&gt;"",G43&amp;" sqft","")&amp;IF(AND(OR(E43&lt;&gt;"",G43&lt;&gt;""),H43&lt;&gt;"")," · ","")&amp;IF(H43&lt;&gt;"",SUBSTITUTE(SUBSTITUTE(SUBSTITUTE(SUBSTITUTE(SUBSTITUTE(SUBSTITUTE(SUBSTITUTE(SUBSTITUTE(SUBSTITUTE(SUBSTITUTE(H43,"游泳池","Swimming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3" s="31" t="str">
        <f aca="false">IF(D43&lt;&gt;"","📍 "&amp;IF(E43&lt;&gt;"",E43&amp;"Bilik ","")&amp;IF(F43&lt;&gt;"",F43&amp;"Bilik Air ","")&amp;IF(G43&lt;&gt;"",G43&amp;" sqft","")&amp;IF(AND(OR(E43&lt;&gt;"",G43&lt;&gt;""),H43&lt;&gt;"")," · ","")&amp;IF(H43&lt;&gt;"",SUBSTITUTE(SUBSTITUTE(SUBSTITUTE(SUBSTITUTE(SUBSTITUTE(SUBSTITUTE(SUBSTITUTE(SUBSTITUTE(SUBSTITUTE(SUBSTITUTE(H43,"游泳池","Kolam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3" s="32" t="str">
        <f aca="false">IF(OR(I43&lt;&gt;"",J43&lt;&gt;"",K43&lt;&gt;""),"🔒 "&amp;IF(I43&lt;&gt;"",I43,"")&amp;IF(AND(I43&lt;&gt;"",J43&lt;&gt;"")," · ","")&amp;IF(J43&lt;&gt;"",J43,"")&amp;IF(AND(OR(I43&lt;&gt;"",J43&lt;&gt;""),K43&lt;&gt;"")," · ","")&amp;IF(K43&lt;&gt;"",K43,""),"")</f>
        <v/>
      </c>
      <c r="V43" s="31" t="str">
        <f aca="false">IF(L43&lt;&gt;"","💰 月租 RM "&amp;TEXT(L43,"#,##0"),"")</f>
        <v/>
      </c>
      <c r="W43" s="31" t="str">
        <f aca="false">IF(L43&lt;&gt;"","💰 Monthly Rent RM "&amp;TEXT(L43,"#,##0"),"")</f>
        <v/>
      </c>
      <c r="X43" s="31" t="str">
        <f aca="false">IF(L43&lt;&gt;"","💰 Sewa Bulanan RM "&amp;TEXT(L43,"#,##0"),"")</f>
        <v/>
      </c>
      <c r="Y43" s="33" t="str">
        <f aca="false">IF(D43&lt;&gt;"","您好！我想咨询出租：
🏠 "&amp;D43&amp;"
"&amp;IF(E43&lt;&gt;"","🛏 "&amp;E43&amp;"房"&amp;IF(F43&lt;&gt;""," "&amp;F43&amp;"卫","")&amp;"
","")&amp;IF(G43&lt;&gt;"","📐 "&amp;G43&amp;" sqft
","")&amp;IF(H43&lt;&gt;"","🏊 "&amp;H43&amp;"
","")&amp;IF(U43&lt;&gt;"",U43&amp;"
","")&amp;IF(L43&lt;&gt;"","💰 月租 RM "&amp;TEXT(L43,"#,##0")&amp;"
","")&amp;"
请问还有空档吗？谢谢！","")</f>
        <v/>
      </c>
      <c r="Z43" s="33" t="str">
        <f aca="false">IF(D43&lt;&gt;"","Hi! I'd like to make a rental enquiry:
🏠 "&amp;P43&amp;"
"&amp;IF(E43&lt;&gt;"","🛏 "&amp;E43&amp;"BR"&amp;IF(F43&lt;&gt;""," "&amp;F43&amp;"BA","")&amp;"
","")&amp;IF(G43&lt;&gt;"","📐 "&amp;G43&amp;" sqft
","")&amp;IF(H43&lt;&gt;"","🏊 "&amp;SUBSTITUTE(SUBSTITUTE(SUBSTITUTE(SUBSTITUTE(SUBSTITUTE(SUBSTITUTE(SUBSTITUTE(SUBSTITUTE(SUBSTITUTE(SUBSTITUTE(H43,"游泳池","Swimming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","")&amp;IF(L43&lt;&gt;"","💰 Monthly Rent RM "&amp;TEXT(L43,"#,##0")&amp;"
","")&amp;"
Is this still available? Thank you!","")</f>
        <v/>
      </c>
      <c r="AA43" s="31"/>
      <c r="AB43" s="33" t="str">
        <f aca="false">IF(D43&lt;&gt;"","Helo! Saya ingin membuat pertanyaan sewa:
🏠 "&amp;Q43&amp;"
"&amp;IF(E43&lt;&gt;"","🛏 "&amp;E43&amp;"Bilik"&amp;IF(F43&lt;&gt;""," "&amp;F43&amp;"Bilik Air","")&amp;"
","")&amp;IF(G43&lt;&gt;"","📐 "&amp;G43&amp;" sqft
","")&amp;IF(H43&lt;&gt;"","🏊 "&amp;SUBSTITUTE(SUBSTITUTE(SUBSTITUTE(SUBSTITUTE(SUBSTITUTE(SUBSTITUTE(SUBSTITUTE(SUBSTITUTE(SUBSTITUTE(SUBSTITUTE(H43,"游泳池","Kolam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","")&amp;IF(L43&lt;&gt;"","💰 Sewa Bulanan RM "&amp;TEXT(L43,"#,##0")&amp;"
","")&amp;"
Adakah masih tersedia? Terima kasih!","")</f>
        <v/>
      </c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9"/>
      <c r="J44" s="29"/>
      <c r="K44" s="29"/>
      <c r="L44" s="28"/>
      <c r="M44" s="30"/>
      <c r="N44" s="31" t="str">
        <f aca="false">IFERROR(ifs(B44="🏢 Condo 公寓","fa-building",B44="🏠 Apartment 单位","fa-home",B44="🌿 即租即住","fa-home",B44="🌿 近国际学校","fa-school",B44="📌 商业旺铺","fa-store",B44="🌟 海景豪宅","fa-water-ladder",B44="📈 投资优选","fa-chart-line",B44="🏞️ 花园住宅","fa-tree",B44="🌟 2026全新地标","fa-drafting-compass",B44="📈 海外投资优选","fa-globe",B44="🌆 核心地段","fa-city",B44="🔥 限时优惠","fa-fire",B44="✅ 永久产权","fa-certificate",B44="🏅 高回报","fa-medal",B44="🏖️ 度假胜地","fa-umbrella-beach",B44="🏫 学区优选","fa-graduation-cap",B44="🛣️ 交通便利","fa-road",B44="🔑 即买即住","fa-key"),"fa-home")</f>
        <v>fa-home</v>
      </c>
      <c r="O44" s="31" t="str">
        <f aca="false">IF(D44&lt;&gt;"",D44,"")</f>
        <v/>
      </c>
      <c r="P44" s="31" t="str">
        <f aca="false">IF(D44&lt;&gt;"",SUBSTITUTE(SUBSTITUTE(SUBSTITUTE(SUBSTITUTE(SUBSTITUTE(SUBSTITUTE(SUBSTITUTE(SUBSTITUTE(SUBSTITUTE(SUBSTITUTE(D44,"亚庇","Kota Kinabalu"),"公寓","Condo"),"排屋","Terrace"),"别墅","Villa"),"店铺","Shop"),"新山","Johor Bahru"),"市中心","City Centre"),"高级","Premium"),"单位","Unit"),"住宅","Residence"),"")</f>
        <v/>
      </c>
      <c r="Q44" s="31" t="str">
        <f aca="false">IF(D44&lt;&gt;"",SUBSTITUTE(SUBSTITUTE(SUBSTITUTE(SUBSTITUTE(SUBSTITUTE(SUBSTITUTE(SUBSTITUTE(SUBSTITUTE(SUBSTITUTE(SUBSTITUTE(D44,"亚庇","Kota Kinabalu"),"公寓","Kondominium"),"排屋","Rumah Teres"),"别墅","Vila"),"店铺","Kedai"),"新山","Johor Bahru"),"市中心","Pusat Bandar"),"高级","Premium"),"单位","Unit"),"住宅","Kediaman"),"")</f>
        <v/>
      </c>
      <c r="R44" s="31" t="str">
        <f aca="false">IF(D44&lt;&gt;"","📍 "&amp;IF(E44&lt;&gt;"",E44&amp;"房","")&amp;IF(F44&lt;&gt;"",F44&amp;"卫 ","")&amp;IF(G44&lt;&gt;"",G44&amp;" sqft","")&amp;IF(AND(OR(E44&lt;&gt;"",G44&lt;&gt;""),H44&lt;&gt;"")," · ","")&amp;IF(H44&lt;&gt;"",H44,""),"")</f>
        <v/>
      </c>
      <c r="S44" s="31" t="str">
        <f aca="false">IF(D44&lt;&gt;"","📍 "&amp;IF(E44&lt;&gt;"",E44&amp;"BR ","")&amp;IF(F44&lt;&gt;"",F44&amp;"BA ","")&amp;IF(G44&lt;&gt;"",G44&amp;" sqft","")&amp;IF(AND(OR(E44&lt;&gt;"",G44&lt;&gt;""),H44&lt;&gt;"")," · ","")&amp;IF(H44&lt;&gt;"",SUBSTITUTE(SUBSTITUTE(SUBSTITUTE(SUBSTITUTE(SUBSTITUTE(SUBSTITUTE(SUBSTITUTE(SUBSTITUTE(SUBSTITUTE(SUBSTITUTE(H44,"游泳池","Swimming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4" s="31" t="str">
        <f aca="false">IF(D44&lt;&gt;"","📍 "&amp;IF(E44&lt;&gt;"",E44&amp;"Bilik ","")&amp;IF(F44&lt;&gt;"",F44&amp;"Bilik Air ","")&amp;IF(G44&lt;&gt;"",G44&amp;" sqft","")&amp;IF(AND(OR(E44&lt;&gt;"",G44&lt;&gt;""),H44&lt;&gt;"")," · ","")&amp;IF(H44&lt;&gt;"",SUBSTITUTE(SUBSTITUTE(SUBSTITUTE(SUBSTITUTE(SUBSTITUTE(SUBSTITUTE(SUBSTITUTE(SUBSTITUTE(SUBSTITUTE(SUBSTITUTE(H44,"游泳池","Kolam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4" s="32" t="str">
        <f aca="false">IF(OR(I44&lt;&gt;"",J44&lt;&gt;"",K44&lt;&gt;""),"🔒 "&amp;IF(I44&lt;&gt;"",I44,"")&amp;IF(AND(I44&lt;&gt;"",J44&lt;&gt;"")," · ","")&amp;IF(J44&lt;&gt;"",J44,"")&amp;IF(AND(OR(I44&lt;&gt;"",J44&lt;&gt;""),K44&lt;&gt;"")," · ","")&amp;IF(K44&lt;&gt;"",K44,""),"")</f>
        <v/>
      </c>
      <c r="V44" s="31" t="str">
        <f aca="false">IF(L44&lt;&gt;"","💰 月租 RM "&amp;TEXT(L44,"#,##0"),"")</f>
        <v/>
      </c>
      <c r="W44" s="31" t="str">
        <f aca="false">IF(L44&lt;&gt;"","💰 Monthly Rent RM "&amp;TEXT(L44,"#,##0"),"")</f>
        <v/>
      </c>
      <c r="X44" s="31" t="str">
        <f aca="false">IF(L44&lt;&gt;"","💰 Sewa Bulanan RM "&amp;TEXT(L44,"#,##0"),"")</f>
        <v/>
      </c>
      <c r="Y44" s="33" t="str">
        <f aca="false">IF(D44&lt;&gt;"","您好！我想咨询出租：
🏠 "&amp;D44&amp;"
"&amp;IF(E44&lt;&gt;"","🛏 "&amp;E44&amp;"房"&amp;IF(F44&lt;&gt;""," "&amp;F44&amp;"卫","")&amp;"
","")&amp;IF(G44&lt;&gt;"","📐 "&amp;G44&amp;" sqft
","")&amp;IF(H44&lt;&gt;"","🏊 "&amp;H44&amp;"
","")&amp;IF(U44&lt;&gt;"",U44&amp;"
","")&amp;IF(L44&lt;&gt;"","💰 月租 RM "&amp;TEXT(L44,"#,##0")&amp;"
","")&amp;"
请问还有空档吗？谢谢！","")</f>
        <v/>
      </c>
      <c r="Z44" s="33" t="str">
        <f aca="false">IF(D44&lt;&gt;"","Hi! I'd like to make a rental enquiry:
🏠 "&amp;P44&amp;"
"&amp;IF(E44&lt;&gt;"","🛏 "&amp;E44&amp;"BR"&amp;IF(F44&lt;&gt;""," "&amp;F44&amp;"BA","")&amp;"
","")&amp;IF(G44&lt;&gt;"","📐 "&amp;G44&amp;" sqft
","")&amp;IF(H44&lt;&gt;"","🏊 "&amp;SUBSTITUTE(SUBSTITUTE(SUBSTITUTE(SUBSTITUTE(SUBSTITUTE(SUBSTITUTE(SUBSTITUTE(SUBSTITUTE(SUBSTITUTE(SUBSTITUTE(H44,"游泳池","Swimming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","")&amp;IF(L44&lt;&gt;"","💰 Monthly Rent RM "&amp;TEXT(L44,"#,##0")&amp;"
","")&amp;"
Is this still available? Thank you!","")</f>
        <v/>
      </c>
      <c r="AA44" s="31"/>
      <c r="AB44" s="33" t="str">
        <f aca="false">IF(D44&lt;&gt;"","Helo! Saya ingin membuat pertanyaan sewa:
🏠 "&amp;Q44&amp;"
"&amp;IF(E44&lt;&gt;"","🛏 "&amp;E44&amp;"Bilik"&amp;IF(F44&lt;&gt;""," "&amp;F44&amp;"Bilik Air","")&amp;"
","")&amp;IF(G44&lt;&gt;"","📐 "&amp;G44&amp;" sqft
","")&amp;IF(H44&lt;&gt;"","🏊 "&amp;SUBSTITUTE(SUBSTITUTE(SUBSTITUTE(SUBSTITUTE(SUBSTITUTE(SUBSTITUTE(SUBSTITUTE(SUBSTITUTE(SUBSTITUTE(SUBSTITUTE(H44,"游泳池","Kolam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","")&amp;IF(L44&lt;&gt;"","💰 Sewa Bulanan RM "&amp;TEXT(L44,"#,##0")&amp;"
","")&amp;"
Adakah masih tersedia? Terima kasih!","")</f>
        <v/>
      </c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9"/>
      <c r="J45" s="29"/>
      <c r="K45" s="29"/>
      <c r="L45" s="28"/>
      <c r="M45" s="30"/>
      <c r="N45" s="31" t="str">
        <f aca="false">IFERROR(ifs(B45="🏢 Condo 公寓","fa-building",B45="🏠 Apartment 单位","fa-home",B45="🌿 即租即住","fa-home",B45="🌿 近国际学校","fa-school",B45="📌 商业旺铺","fa-store",B45="🌟 海景豪宅","fa-water-ladder",B45="📈 投资优选","fa-chart-line",B45="🏞️ 花园住宅","fa-tree",B45="🌟 2026全新地标","fa-drafting-compass",B45="📈 海外投资优选","fa-globe",B45="🌆 核心地段","fa-city",B45="🔥 限时优惠","fa-fire",B45="✅ 永久产权","fa-certificate",B45="🏅 高回报","fa-medal",B45="🏖️ 度假胜地","fa-umbrella-beach",B45="🏫 学区优选","fa-graduation-cap",B45="🛣️ 交通便利","fa-road",B45="🔑 即买即住","fa-key"),"fa-home")</f>
        <v>fa-home</v>
      </c>
      <c r="O45" s="31" t="str">
        <f aca="false">IF(D45&lt;&gt;"",D45,"")</f>
        <v/>
      </c>
      <c r="P45" s="31" t="str">
        <f aca="false">IF(D45&lt;&gt;"",SUBSTITUTE(SUBSTITUTE(SUBSTITUTE(SUBSTITUTE(SUBSTITUTE(SUBSTITUTE(SUBSTITUTE(SUBSTITUTE(SUBSTITUTE(SUBSTITUTE(D45,"亚庇","Kota Kinabalu"),"公寓","Condo"),"排屋","Terrace"),"别墅","Villa"),"店铺","Shop"),"新山","Johor Bahru"),"市中心","City Centre"),"高级","Premium"),"单位","Unit"),"住宅","Residence"),"")</f>
        <v/>
      </c>
      <c r="Q45" s="31" t="str">
        <f aca="false">IF(D45&lt;&gt;"",SUBSTITUTE(SUBSTITUTE(SUBSTITUTE(SUBSTITUTE(SUBSTITUTE(SUBSTITUTE(SUBSTITUTE(SUBSTITUTE(SUBSTITUTE(SUBSTITUTE(D45,"亚庇","Kota Kinabalu"),"公寓","Kondominium"),"排屋","Rumah Teres"),"别墅","Vila"),"店铺","Kedai"),"新山","Johor Bahru"),"市中心","Pusat Bandar"),"高级","Premium"),"单位","Unit"),"住宅","Kediaman"),"")</f>
        <v/>
      </c>
      <c r="R45" s="31" t="str">
        <f aca="false">IF(D45&lt;&gt;"","📍 "&amp;IF(E45&lt;&gt;"",E45&amp;"房","")&amp;IF(F45&lt;&gt;"",F45&amp;"卫 ","")&amp;IF(G45&lt;&gt;"",G45&amp;" sqft","")&amp;IF(AND(OR(E45&lt;&gt;"",G45&lt;&gt;""),H45&lt;&gt;"")," · ","")&amp;IF(H45&lt;&gt;"",H45,""),"")</f>
        <v/>
      </c>
      <c r="S45" s="31" t="str">
        <f aca="false">IF(D45&lt;&gt;"","📍 "&amp;IF(E45&lt;&gt;"",E45&amp;"BR ","")&amp;IF(F45&lt;&gt;"",F45&amp;"BA ","")&amp;IF(G45&lt;&gt;"",G45&amp;" sqft","")&amp;IF(AND(OR(E45&lt;&gt;"",G45&lt;&gt;""),H45&lt;&gt;"")," · ","")&amp;IF(H45&lt;&gt;"",SUBSTITUTE(SUBSTITUTE(SUBSTITUTE(SUBSTITUTE(SUBSTITUTE(SUBSTITUTE(SUBSTITUTE(SUBSTITUTE(SUBSTITUTE(SUBSTITUTE(H45,"游泳池","Swimming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5" s="31" t="str">
        <f aca="false">IF(D45&lt;&gt;"","📍 "&amp;IF(E45&lt;&gt;"",E45&amp;"Bilik ","")&amp;IF(F45&lt;&gt;"",F45&amp;"Bilik Air ","")&amp;IF(G45&lt;&gt;"",G45&amp;" sqft","")&amp;IF(AND(OR(E45&lt;&gt;"",G45&lt;&gt;""),H45&lt;&gt;"")," · ","")&amp;IF(H45&lt;&gt;"",SUBSTITUTE(SUBSTITUTE(SUBSTITUTE(SUBSTITUTE(SUBSTITUTE(SUBSTITUTE(SUBSTITUTE(SUBSTITUTE(SUBSTITUTE(SUBSTITUTE(H45,"游泳池","Kolam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5" s="32" t="str">
        <f aca="false">IF(OR(I45&lt;&gt;"",J45&lt;&gt;"",K45&lt;&gt;""),"🔒 "&amp;IF(I45&lt;&gt;"",I45,"")&amp;IF(AND(I45&lt;&gt;"",J45&lt;&gt;"")," · ","")&amp;IF(J45&lt;&gt;"",J45,"")&amp;IF(AND(OR(I45&lt;&gt;"",J45&lt;&gt;""),K45&lt;&gt;"")," · ","")&amp;IF(K45&lt;&gt;"",K45,""),"")</f>
        <v/>
      </c>
      <c r="V45" s="31" t="str">
        <f aca="false">IF(L45&lt;&gt;"","💰 月租 RM "&amp;TEXT(L45,"#,##0"),"")</f>
        <v/>
      </c>
      <c r="W45" s="31" t="str">
        <f aca="false">IF(L45&lt;&gt;"","💰 Monthly Rent RM "&amp;TEXT(L45,"#,##0"),"")</f>
        <v/>
      </c>
      <c r="X45" s="31" t="str">
        <f aca="false">IF(L45&lt;&gt;"","💰 Sewa Bulanan RM "&amp;TEXT(L45,"#,##0"),"")</f>
        <v/>
      </c>
      <c r="Y45" s="33" t="str">
        <f aca="false">IF(D45&lt;&gt;"","您好！我想咨询出租：
🏠 "&amp;D45&amp;"
"&amp;IF(E45&lt;&gt;"","🛏 "&amp;E45&amp;"房"&amp;IF(F45&lt;&gt;""," "&amp;F45&amp;"卫","")&amp;"
","")&amp;IF(G45&lt;&gt;"","📐 "&amp;G45&amp;" sqft
","")&amp;IF(H45&lt;&gt;"","🏊 "&amp;H45&amp;"
","")&amp;IF(U45&lt;&gt;"",U45&amp;"
","")&amp;IF(L45&lt;&gt;"","💰 月租 RM "&amp;TEXT(L45,"#,##0")&amp;"
","")&amp;"
请问还有空档吗？谢谢！","")</f>
        <v/>
      </c>
      <c r="Z45" s="33" t="str">
        <f aca="false">IF(D45&lt;&gt;"","Hi! I'd like to make a rental enquiry:
🏠 "&amp;P45&amp;"
"&amp;IF(E45&lt;&gt;"","🛏 "&amp;E45&amp;"BR"&amp;IF(F45&lt;&gt;""," "&amp;F45&amp;"BA","")&amp;"
","")&amp;IF(G45&lt;&gt;"","📐 "&amp;G45&amp;" sqft
","")&amp;IF(H45&lt;&gt;"","🏊 "&amp;SUBSTITUTE(SUBSTITUTE(SUBSTITUTE(SUBSTITUTE(SUBSTITUTE(SUBSTITUTE(SUBSTITUTE(SUBSTITUTE(SUBSTITUTE(SUBSTITUTE(H45,"游泳池","Swimming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","")&amp;IF(L45&lt;&gt;"","💰 Monthly Rent RM "&amp;TEXT(L45,"#,##0")&amp;"
","")&amp;"
Is this still available? Thank you!","")</f>
        <v/>
      </c>
      <c r="AA45" s="31"/>
      <c r="AB45" s="33" t="str">
        <f aca="false">IF(D45&lt;&gt;"","Helo! Saya ingin membuat pertanyaan sewa:
🏠 "&amp;Q45&amp;"
"&amp;IF(E45&lt;&gt;"","🛏 "&amp;E45&amp;"Bilik"&amp;IF(F45&lt;&gt;""," "&amp;F45&amp;"Bilik Air","")&amp;"
","")&amp;IF(G45&lt;&gt;"","📐 "&amp;G45&amp;" sqft
","")&amp;IF(H45&lt;&gt;"","🏊 "&amp;SUBSTITUTE(SUBSTITUTE(SUBSTITUTE(SUBSTITUTE(SUBSTITUTE(SUBSTITUTE(SUBSTITUTE(SUBSTITUTE(SUBSTITUTE(SUBSTITUTE(H45,"游泳池","Kolam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","")&amp;IF(L45&lt;&gt;"","💰 Sewa Bulanan RM "&amp;TEXT(L45,"#,##0")&amp;"
","")&amp;"
Adakah masih tersedia? Terima kasih!","")</f>
        <v/>
      </c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9"/>
      <c r="J46" s="29"/>
      <c r="K46" s="29"/>
      <c r="L46" s="28"/>
      <c r="M46" s="30"/>
      <c r="N46" s="31" t="str">
        <f aca="false">IFERROR(ifs(B46="🏢 Condo 公寓","fa-building",B46="🏠 Apartment 单位","fa-home",B46="🌿 即租即住","fa-home",B46="🌿 近国际学校","fa-school",B46="📌 商业旺铺","fa-store",B46="🌟 海景豪宅","fa-water-ladder",B46="📈 投资优选","fa-chart-line",B46="🏞️ 花园住宅","fa-tree",B46="🌟 2026全新地标","fa-drafting-compass",B46="📈 海外投资优选","fa-globe",B46="🌆 核心地段","fa-city",B46="🔥 限时优惠","fa-fire",B46="✅ 永久产权","fa-certificate",B46="🏅 高回报","fa-medal",B46="🏖️ 度假胜地","fa-umbrella-beach",B46="🏫 学区优选","fa-graduation-cap",B46="🛣️ 交通便利","fa-road",B46="🔑 即买即住","fa-key"),"fa-home")</f>
        <v>fa-home</v>
      </c>
      <c r="O46" s="31" t="str">
        <f aca="false">IF(D46&lt;&gt;"",D46,"")</f>
        <v/>
      </c>
      <c r="P46" s="31" t="str">
        <f aca="false">IF(D46&lt;&gt;"",SUBSTITUTE(SUBSTITUTE(SUBSTITUTE(SUBSTITUTE(SUBSTITUTE(SUBSTITUTE(SUBSTITUTE(SUBSTITUTE(SUBSTITUTE(SUBSTITUTE(D46,"亚庇","Kota Kinabalu"),"公寓","Condo"),"排屋","Terrace"),"别墅","Villa"),"店铺","Shop"),"新山","Johor Bahru"),"市中心","City Centre"),"高级","Premium"),"单位","Unit"),"住宅","Residence"),"")</f>
        <v/>
      </c>
      <c r="Q46" s="31" t="str">
        <f aca="false">IF(D46&lt;&gt;"",SUBSTITUTE(SUBSTITUTE(SUBSTITUTE(SUBSTITUTE(SUBSTITUTE(SUBSTITUTE(SUBSTITUTE(SUBSTITUTE(SUBSTITUTE(SUBSTITUTE(D46,"亚庇","Kota Kinabalu"),"公寓","Kondominium"),"排屋","Rumah Teres"),"别墅","Vila"),"店铺","Kedai"),"新山","Johor Bahru"),"市中心","Pusat Bandar"),"高级","Premium"),"单位","Unit"),"住宅","Kediaman"),"")</f>
        <v/>
      </c>
      <c r="R46" s="31" t="str">
        <f aca="false">IF(D46&lt;&gt;"","📍 "&amp;IF(E46&lt;&gt;"",E46&amp;"房","")&amp;IF(F46&lt;&gt;"",F46&amp;"卫 ","")&amp;IF(G46&lt;&gt;"",G46&amp;" sqft","")&amp;IF(AND(OR(E46&lt;&gt;"",G46&lt;&gt;""),H46&lt;&gt;"")," · ","")&amp;IF(H46&lt;&gt;"",H46,""),"")</f>
        <v/>
      </c>
      <c r="S46" s="31" t="str">
        <f aca="false">IF(D46&lt;&gt;"","📍 "&amp;IF(E46&lt;&gt;"",E46&amp;"BR ","")&amp;IF(F46&lt;&gt;"",F46&amp;"BA ","")&amp;IF(G46&lt;&gt;"",G46&amp;" sqft","")&amp;IF(AND(OR(E46&lt;&gt;"",G46&lt;&gt;""),H46&lt;&gt;"")," · ","")&amp;IF(H46&lt;&gt;"",SUBSTITUTE(SUBSTITUTE(SUBSTITUTE(SUBSTITUTE(SUBSTITUTE(SUBSTITUTE(SUBSTITUTE(SUBSTITUTE(SUBSTITUTE(SUBSTITUTE(H46,"游泳池","Swimming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6" s="31" t="str">
        <f aca="false">IF(D46&lt;&gt;"","📍 "&amp;IF(E46&lt;&gt;"",E46&amp;"Bilik ","")&amp;IF(F46&lt;&gt;"",F46&amp;"Bilik Air ","")&amp;IF(G46&lt;&gt;"",G46&amp;" sqft","")&amp;IF(AND(OR(E46&lt;&gt;"",G46&lt;&gt;""),H46&lt;&gt;"")," · ","")&amp;IF(H46&lt;&gt;"",SUBSTITUTE(SUBSTITUTE(SUBSTITUTE(SUBSTITUTE(SUBSTITUTE(SUBSTITUTE(SUBSTITUTE(SUBSTITUTE(SUBSTITUTE(SUBSTITUTE(H46,"游泳池","Kolam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6" s="32" t="str">
        <f aca="false">IF(OR(I46&lt;&gt;"",J46&lt;&gt;"",K46&lt;&gt;""),"🔒 "&amp;IF(I46&lt;&gt;"",I46,"")&amp;IF(AND(I46&lt;&gt;"",J46&lt;&gt;"")," · ","")&amp;IF(J46&lt;&gt;"",J46,"")&amp;IF(AND(OR(I46&lt;&gt;"",J46&lt;&gt;""),K46&lt;&gt;"")," · ","")&amp;IF(K46&lt;&gt;"",K46,""),"")</f>
        <v/>
      </c>
      <c r="V46" s="31" t="str">
        <f aca="false">IF(L46&lt;&gt;"","💰 月租 RM "&amp;TEXT(L46,"#,##0"),"")</f>
        <v/>
      </c>
      <c r="W46" s="31" t="str">
        <f aca="false">IF(L46&lt;&gt;"","💰 Monthly Rent RM "&amp;TEXT(L46,"#,##0"),"")</f>
        <v/>
      </c>
      <c r="X46" s="31" t="str">
        <f aca="false">IF(L46&lt;&gt;"","💰 Sewa Bulanan RM "&amp;TEXT(L46,"#,##0"),"")</f>
        <v/>
      </c>
      <c r="Y46" s="33" t="str">
        <f aca="false">IF(D46&lt;&gt;"","您好！我想咨询出租：
🏠 "&amp;D46&amp;"
"&amp;IF(E46&lt;&gt;"","🛏 "&amp;E46&amp;"房"&amp;IF(F46&lt;&gt;""," "&amp;F46&amp;"卫","")&amp;"
","")&amp;IF(G46&lt;&gt;"","📐 "&amp;G46&amp;" sqft
","")&amp;IF(H46&lt;&gt;"","🏊 "&amp;H46&amp;"
","")&amp;IF(U46&lt;&gt;"",U46&amp;"
","")&amp;IF(L46&lt;&gt;"","💰 月租 RM "&amp;TEXT(L46,"#,##0")&amp;"
","")&amp;"
请问还有空档吗？谢谢！","")</f>
        <v/>
      </c>
      <c r="Z46" s="33" t="str">
        <f aca="false">IF(D46&lt;&gt;"","Hi! I'd like to make a rental enquiry:
🏠 "&amp;P46&amp;"
"&amp;IF(E46&lt;&gt;"","🛏 "&amp;E46&amp;"BR"&amp;IF(F46&lt;&gt;""," "&amp;F46&amp;"BA","")&amp;"
","")&amp;IF(G46&lt;&gt;"","📐 "&amp;G46&amp;" sqft
","")&amp;IF(H46&lt;&gt;"","🏊 "&amp;SUBSTITUTE(SUBSTITUTE(SUBSTITUTE(SUBSTITUTE(SUBSTITUTE(SUBSTITUTE(SUBSTITUTE(SUBSTITUTE(SUBSTITUTE(SUBSTITUTE(H46,"游泳池","Swimming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","")&amp;IF(L46&lt;&gt;"","💰 Monthly Rent RM "&amp;TEXT(L46,"#,##0")&amp;"
","")&amp;"
Is this still available? Thank you!","")</f>
        <v/>
      </c>
      <c r="AA46" s="31"/>
      <c r="AB46" s="33" t="str">
        <f aca="false">IF(D46&lt;&gt;"","Helo! Saya ingin membuat pertanyaan sewa:
🏠 "&amp;Q46&amp;"
"&amp;IF(E46&lt;&gt;"","🛏 "&amp;E46&amp;"Bilik"&amp;IF(F46&lt;&gt;""," "&amp;F46&amp;"Bilik Air","")&amp;"
","")&amp;IF(G46&lt;&gt;"","📐 "&amp;G46&amp;" sqft
","")&amp;IF(H46&lt;&gt;"","🏊 "&amp;SUBSTITUTE(SUBSTITUTE(SUBSTITUTE(SUBSTITUTE(SUBSTITUTE(SUBSTITUTE(SUBSTITUTE(SUBSTITUTE(SUBSTITUTE(SUBSTITUTE(H46,"游泳池","Kolam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","")&amp;IF(L46&lt;&gt;"","💰 Sewa Bulanan RM "&amp;TEXT(L46,"#,##0")&amp;"
","")&amp;"
Adakah masih tersedia? Terima kasih!","")</f>
        <v/>
      </c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9"/>
      <c r="J47" s="29"/>
      <c r="K47" s="29"/>
      <c r="L47" s="28"/>
      <c r="M47" s="30"/>
      <c r="N47" s="31" t="str">
        <f aca="false">IFERROR(ifs(B47="🏢 Condo 公寓","fa-building",B47="🏠 Apartment 单位","fa-home",B47="🌿 即租即住","fa-home",B47="🌿 近国际学校","fa-school",B47="📌 商业旺铺","fa-store",B47="🌟 海景豪宅","fa-water-ladder",B47="📈 投资优选","fa-chart-line",B47="🏞️ 花园住宅","fa-tree",B47="🌟 2026全新地标","fa-drafting-compass",B47="📈 海外投资优选","fa-globe",B47="🌆 核心地段","fa-city",B47="🔥 限时优惠","fa-fire",B47="✅ 永久产权","fa-certificate",B47="🏅 高回报","fa-medal",B47="🏖️ 度假胜地","fa-umbrella-beach",B47="🏫 学区优选","fa-graduation-cap",B47="🛣️ 交通便利","fa-road",B47="🔑 即买即住","fa-key"),"fa-home")</f>
        <v>fa-home</v>
      </c>
      <c r="O47" s="31" t="str">
        <f aca="false">IF(D47&lt;&gt;"",D47,"")</f>
        <v/>
      </c>
      <c r="P47" s="31" t="str">
        <f aca="false">IF(D47&lt;&gt;"",SUBSTITUTE(SUBSTITUTE(SUBSTITUTE(SUBSTITUTE(SUBSTITUTE(SUBSTITUTE(SUBSTITUTE(SUBSTITUTE(SUBSTITUTE(SUBSTITUTE(D47,"亚庇","Kota Kinabalu"),"公寓","Condo"),"排屋","Terrace"),"别墅","Villa"),"店铺","Shop"),"新山","Johor Bahru"),"市中心","City Centre"),"高级","Premium"),"单位","Unit"),"住宅","Residence"),"")</f>
        <v/>
      </c>
      <c r="Q47" s="31" t="str">
        <f aca="false">IF(D47&lt;&gt;"",SUBSTITUTE(SUBSTITUTE(SUBSTITUTE(SUBSTITUTE(SUBSTITUTE(SUBSTITUTE(SUBSTITUTE(SUBSTITUTE(SUBSTITUTE(SUBSTITUTE(D47,"亚庇","Kota Kinabalu"),"公寓","Kondominium"),"排屋","Rumah Teres"),"别墅","Vila"),"店铺","Kedai"),"新山","Johor Bahru"),"市中心","Pusat Bandar"),"高级","Premium"),"单位","Unit"),"住宅","Kediaman"),"")</f>
        <v/>
      </c>
      <c r="R47" s="31" t="str">
        <f aca="false">IF(D47&lt;&gt;"","📍 "&amp;IF(E47&lt;&gt;"",E47&amp;"房","")&amp;IF(F47&lt;&gt;"",F47&amp;"卫 ","")&amp;IF(G47&lt;&gt;"",G47&amp;" sqft","")&amp;IF(AND(OR(E47&lt;&gt;"",G47&lt;&gt;""),H47&lt;&gt;"")," · ","")&amp;IF(H47&lt;&gt;"",H47,""),"")</f>
        <v/>
      </c>
      <c r="S47" s="31" t="str">
        <f aca="false">IF(D47&lt;&gt;"","📍 "&amp;IF(E47&lt;&gt;"",E47&amp;"BR ","")&amp;IF(F47&lt;&gt;"",F47&amp;"BA ","")&amp;IF(G47&lt;&gt;"",G47&amp;" sqft","")&amp;IF(AND(OR(E47&lt;&gt;"",G47&lt;&gt;""),H47&lt;&gt;"")," · ","")&amp;IF(H47&lt;&gt;"",SUBSTITUTE(SUBSTITUTE(SUBSTITUTE(SUBSTITUTE(SUBSTITUTE(SUBSTITUTE(SUBSTITUTE(SUBSTITUTE(SUBSTITUTE(SUBSTITUTE(H47,"游泳池","Swimming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7" s="31" t="str">
        <f aca="false">IF(D47&lt;&gt;"","📍 "&amp;IF(E47&lt;&gt;"",E47&amp;"Bilik ","")&amp;IF(F47&lt;&gt;"",F47&amp;"Bilik Air ","")&amp;IF(G47&lt;&gt;"",G47&amp;" sqft","")&amp;IF(AND(OR(E47&lt;&gt;"",G47&lt;&gt;""),H47&lt;&gt;"")," · ","")&amp;IF(H47&lt;&gt;"",SUBSTITUTE(SUBSTITUTE(SUBSTITUTE(SUBSTITUTE(SUBSTITUTE(SUBSTITUTE(SUBSTITUTE(SUBSTITUTE(SUBSTITUTE(SUBSTITUTE(H47,"游泳池","Kolam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7" s="32" t="str">
        <f aca="false">IF(OR(I47&lt;&gt;"",J47&lt;&gt;"",K47&lt;&gt;""),"🔒 "&amp;IF(I47&lt;&gt;"",I47,"")&amp;IF(AND(I47&lt;&gt;"",J47&lt;&gt;"")," · ","")&amp;IF(J47&lt;&gt;"",J47,"")&amp;IF(AND(OR(I47&lt;&gt;"",J47&lt;&gt;""),K47&lt;&gt;"")," · ","")&amp;IF(K47&lt;&gt;"",K47,""),"")</f>
        <v/>
      </c>
      <c r="V47" s="31" t="str">
        <f aca="false">IF(L47&lt;&gt;"","💰 月租 RM "&amp;TEXT(L47,"#,##0"),"")</f>
        <v/>
      </c>
      <c r="W47" s="31" t="str">
        <f aca="false">IF(L47&lt;&gt;"","💰 Monthly Rent RM "&amp;TEXT(L47,"#,##0"),"")</f>
        <v/>
      </c>
      <c r="X47" s="31" t="str">
        <f aca="false">IF(L47&lt;&gt;"","💰 Sewa Bulanan RM "&amp;TEXT(L47,"#,##0"),"")</f>
        <v/>
      </c>
      <c r="Y47" s="33" t="str">
        <f aca="false">IF(D47&lt;&gt;"","您好！我想咨询出租：
🏠 "&amp;D47&amp;"
"&amp;IF(E47&lt;&gt;"","🛏 "&amp;E47&amp;"房"&amp;IF(F47&lt;&gt;""," "&amp;F47&amp;"卫","")&amp;"
","")&amp;IF(G47&lt;&gt;"","📐 "&amp;G47&amp;" sqft
","")&amp;IF(H47&lt;&gt;"","🏊 "&amp;H47&amp;"
","")&amp;IF(U47&lt;&gt;"",U47&amp;"
","")&amp;IF(L47&lt;&gt;"","💰 月租 RM "&amp;TEXT(L47,"#,##0")&amp;"
","")&amp;"
请问还有空档吗？谢谢！","")</f>
        <v/>
      </c>
      <c r="Z47" s="33" t="str">
        <f aca="false">IF(D47&lt;&gt;"","Hi! I'd like to make a rental enquiry:
🏠 "&amp;P47&amp;"
"&amp;IF(E47&lt;&gt;"","🛏 "&amp;E47&amp;"BR"&amp;IF(F47&lt;&gt;""," "&amp;F47&amp;"BA","")&amp;"
","")&amp;IF(G47&lt;&gt;"","📐 "&amp;G47&amp;" sqft
","")&amp;IF(H47&lt;&gt;"","🏊 "&amp;SUBSTITUTE(SUBSTITUTE(SUBSTITUTE(SUBSTITUTE(SUBSTITUTE(SUBSTITUTE(SUBSTITUTE(SUBSTITUTE(SUBSTITUTE(SUBSTITUTE(H47,"游泳池","Swimming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","")&amp;IF(L47&lt;&gt;"","💰 Monthly Rent RM "&amp;TEXT(L47,"#,##0")&amp;"
","")&amp;"
Is this still available? Thank you!","")</f>
        <v/>
      </c>
      <c r="AA47" s="31"/>
      <c r="AB47" s="33" t="str">
        <f aca="false">IF(D47&lt;&gt;"","Helo! Saya ingin membuat pertanyaan sewa:
🏠 "&amp;Q47&amp;"
"&amp;IF(E47&lt;&gt;"","🛏 "&amp;E47&amp;"Bilik"&amp;IF(F47&lt;&gt;""," "&amp;F47&amp;"Bilik Air","")&amp;"
","")&amp;IF(G47&lt;&gt;"","📐 "&amp;G47&amp;" sqft
","")&amp;IF(H47&lt;&gt;"","🏊 "&amp;SUBSTITUTE(SUBSTITUTE(SUBSTITUTE(SUBSTITUTE(SUBSTITUTE(SUBSTITUTE(SUBSTITUTE(SUBSTITUTE(SUBSTITUTE(SUBSTITUTE(H47,"游泳池","Kolam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","")&amp;IF(L47&lt;&gt;"","💰 Sewa Bulanan RM "&amp;TEXT(L47,"#,##0")&amp;"
","")&amp;"
Adakah masih tersedia? Terima kasih!","")</f>
        <v/>
      </c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9"/>
      <c r="J48" s="29"/>
      <c r="K48" s="29"/>
      <c r="L48" s="28"/>
      <c r="M48" s="30"/>
      <c r="N48" s="31" t="str">
        <f aca="false">IFERROR(ifs(B48="🏢 Condo 公寓","fa-building",B48="🏠 Apartment 单位","fa-home",B48="🌿 即租即住","fa-home",B48="🌿 近国际学校","fa-school",B48="📌 商业旺铺","fa-store",B48="🌟 海景豪宅","fa-water-ladder",B48="📈 投资优选","fa-chart-line",B48="🏞️ 花园住宅","fa-tree",B48="🌟 2026全新地标","fa-drafting-compass",B48="📈 海外投资优选","fa-globe",B48="🌆 核心地段","fa-city",B48="🔥 限时优惠","fa-fire",B48="✅ 永久产权","fa-certificate",B48="🏅 高回报","fa-medal",B48="🏖️ 度假胜地","fa-umbrella-beach",B48="🏫 学区优选","fa-graduation-cap",B48="🛣️ 交通便利","fa-road",B48="🔑 即买即住","fa-key"),"fa-home")</f>
        <v>fa-home</v>
      </c>
      <c r="O48" s="31" t="str">
        <f aca="false">IF(D48&lt;&gt;"",D48,"")</f>
        <v/>
      </c>
      <c r="P48" s="31" t="str">
        <f aca="false">IF(D48&lt;&gt;"",SUBSTITUTE(SUBSTITUTE(SUBSTITUTE(SUBSTITUTE(SUBSTITUTE(SUBSTITUTE(SUBSTITUTE(SUBSTITUTE(SUBSTITUTE(SUBSTITUTE(D48,"亚庇","Kota Kinabalu"),"公寓","Condo"),"排屋","Terrace"),"别墅","Villa"),"店铺","Shop"),"新山","Johor Bahru"),"市中心","City Centre"),"高级","Premium"),"单位","Unit"),"住宅","Residence"),"")</f>
        <v/>
      </c>
      <c r="Q48" s="31" t="str">
        <f aca="false">IF(D48&lt;&gt;"",SUBSTITUTE(SUBSTITUTE(SUBSTITUTE(SUBSTITUTE(SUBSTITUTE(SUBSTITUTE(SUBSTITUTE(SUBSTITUTE(SUBSTITUTE(SUBSTITUTE(D48,"亚庇","Kota Kinabalu"),"公寓","Kondominium"),"排屋","Rumah Teres"),"别墅","Vila"),"店铺","Kedai"),"新山","Johor Bahru"),"市中心","Pusat Bandar"),"高级","Premium"),"单位","Unit"),"住宅","Kediaman"),"")</f>
        <v/>
      </c>
      <c r="R48" s="31" t="str">
        <f aca="false">IF(D48&lt;&gt;"","📍 "&amp;IF(E48&lt;&gt;"",E48&amp;"房","")&amp;IF(F48&lt;&gt;"",F48&amp;"卫 ","")&amp;IF(G48&lt;&gt;"",G48&amp;" sqft","")&amp;IF(AND(OR(E48&lt;&gt;"",G48&lt;&gt;""),H48&lt;&gt;"")," · ","")&amp;IF(H48&lt;&gt;"",H48,""),"")</f>
        <v/>
      </c>
      <c r="S48" s="31" t="str">
        <f aca="false">IF(D48&lt;&gt;"","📍 "&amp;IF(E48&lt;&gt;"",E48&amp;"BR ","")&amp;IF(F48&lt;&gt;"",F48&amp;"BA ","")&amp;IF(G48&lt;&gt;"",G48&amp;" sqft","")&amp;IF(AND(OR(E48&lt;&gt;"",G48&lt;&gt;""),H48&lt;&gt;"")," · ","")&amp;IF(H48&lt;&gt;"",SUBSTITUTE(SUBSTITUTE(SUBSTITUTE(SUBSTITUTE(SUBSTITUTE(SUBSTITUTE(SUBSTITUTE(SUBSTITUTE(SUBSTITUTE(SUBSTITUTE(H48,"游泳池","Swimming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8" s="31" t="str">
        <f aca="false">IF(D48&lt;&gt;"","📍 "&amp;IF(E48&lt;&gt;"",E48&amp;"Bilik ","")&amp;IF(F48&lt;&gt;"",F48&amp;"Bilik Air ","")&amp;IF(G48&lt;&gt;"",G48&amp;" sqft","")&amp;IF(AND(OR(E48&lt;&gt;"",G48&lt;&gt;""),H48&lt;&gt;"")," · ","")&amp;IF(H48&lt;&gt;"",SUBSTITUTE(SUBSTITUTE(SUBSTITUTE(SUBSTITUTE(SUBSTITUTE(SUBSTITUTE(SUBSTITUTE(SUBSTITUTE(SUBSTITUTE(SUBSTITUTE(H48,"游泳池","Kolam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8" s="32" t="str">
        <f aca="false">IF(OR(I48&lt;&gt;"",J48&lt;&gt;"",K48&lt;&gt;""),"🔒 "&amp;IF(I48&lt;&gt;"",I48,"")&amp;IF(AND(I48&lt;&gt;"",J48&lt;&gt;"")," · ","")&amp;IF(J48&lt;&gt;"",J48,"")&amp;IF(AND(OR(I48&lt;&gt;"",J48&lt;&gt;""),K48&lt;&gt;"")," · ","")&amp;IF(K48&lt;&gt;"",K48,""),"")</f>
        <v/>
      </c>
      <c r="V48" s="31" t="str">
        <f aca="false">IF(L48&lt;&gt;"","💰 月租 RM "&amp;TEXT(L48,"#,##0"),"")</f>
        <v/>
      </c>
      <c r="W48" s="31" t="str">
        <f aca="false">IF(L48&lt;&gt;"","💰 Monthly Rent RM "&amp;TEXT(L48,"#,##0"),"")</f>
        <v/>
      </c>
      <c r="X48" s="31" t="str">
        <f aca="false">IF(L48&lt;&gt;"","💰 Sewa Bulanan RM "&amp;TEXT(L48,"#,##0"),"")</f>
        <v/>
      </c>
      <c r="Y48" s="33" t="str">
        <f aca="false">IF(D48&lt;&gt;"","您好！我想咨询出租：
🏠 "&amp;D48&amp;"
"&amp;IF(E48&lt;&gt;"","🛏 "&amp;E48&amp;"房"&amp;IF(F48&lt;&gt;""," "&amp;F48&amp;"卫","")&amp;"
","")&amp;IF(G48&lt;&gt;"","📐 "&amp;G48&amp;" sqft
","")&amp;IF(H48&lt;&gt;"","🏊 "&amp;H48&amp;"
","")&amp;IF(U48&lt;&gt;"",U48&amp;"
","")&amp;IF(L48&lt;&gt;"","💰 月租 RM "&amp;TEXT(L48,"#,##0")&amp;"
","")&amp;"
请问还有空档吗？谢谢！","")</f>
        <v/>
      </c>
      <c r="Z48" s="33" t="str">
        <f aca="false">IF(D48&lt;&gt;"","Hi! I'd like to make a rental enquiry:
🏠 "&amp;P48&amp;"
"&amp;IF(E48&lt;&gt;"","🛏 "&amp;E48&amp;"BR"&amp;IF(F48&lt;&gt;""," "&amp;F48&amp;"BA","")&amp;"
","")&amp;IF(G48&lt;&gt;"","📐 "&amp;G48&amp;" sqft
","")&amp;IF(H48&lt;&gt;"","🏊 "&amp;SUBSTITUTE(SUBSTITUTE(SUBSTITUTE(SUBSTITUTE(SUBSTITUTE(SUBSTITUTE(SUBSTITUTE(SUBSTITUTE(SUBSTITUTE(SUBSTITUTE(H48,"游泳池","Swimming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","")&amp;IF(L48&lt;&gt;"","💰 Monthly Rent RM "&amp;TEXT(L48,"#,##0")&amp;"
","")&amp;"
Is this still available? Thank you!","")</f>
        <v/>
      </c>
      <c r="AA48" s="31"/>
      <c r="AB48" s="33" t="str">
        <f aca="false">IF(D48&lt;&gt;"","Helo! Saya ingin membuat pertanyaan sewa:
🏠 "&amp;Q48&amp;"
"&amp;IF(E48&lt;&gt;"","🛏 "&amp;E48&amp;"Bilik"&amp;IF(F48&lt;&gt;""," "&amp;F48&amp;"Bilik Air","")&amp;"
","")&amp;IF(G48&lt;&gt;"","📐 "&amp;G48&amp;" sqft
","")&amp;IF(H48&lt;&gt;"","🏊 "&amp;SUBSTITUTE(SUBSTITUTE(SUBSTITUTE(SUBSTITUTE(SUBSTITUTE(SUBSTITUTE(SUBSTITUTE(SUBSTITUTE(SUBSTITUTE(SUBSTITUTE(H48,"游泳池","Kolam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","")&amp;IF(L48&lt;&gt;"","💰 Sewa Bulanan RM "&amp;TEXT(L48,"#,##0")&amp;"
","")&amp;"
Adakah masih tersedia? Terima kasih!","")</f>
        <v/>
      </c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9"/>
      <c r="J49" s="29"/>
      <c r="K49" s="29"/>
      <c r="L49" s="28"/>
      <c r="M49" s="30"/>
      <c r="N49" s="31" t="str">
        <f aca="false">IFERROR(ifs(B49="🏢 Condo 公寓","fa-building",B49="🏠 Apartment 单位","fa-home",B49="🌿 即租即住","fa-home",B49="🌿 近国际学校","fa-school",B49="📌 商业旺铺","fa-store",B49="🌟 海景豪宅","fa-water-ladder",B49="📈 投资优选","fa-chart-line",B49="🏞️ 花园住宅","fa-tree",B49="🌟 2026全新地标","fa-drafting-compass",B49="📈 海外投资优选","fa-globe",B49="🌆 核心地段","fa-city",B49="🔥 限时优惠","fa-fire",B49="✅ 永久产权","fa-certificate",B49="🏅 高回报","fa-medal",B49="🏖️ 度假胜地","fa-umbrella-beach",B49="🏫 学区优选","fa-graduation-cap",B49="🛣️ 交通便利","fa-road",B49="🔑 即买即住","fa-key"),"fa-home")</f>
        <v>fa-home</v>
      </c>
      <c r="O49" s="31" t="str">
        <f aca="false">IF(D49&lt;&gt;"",D49,"")</f>
        <v/>
      </c>
      <c r="P49" s="31" t="str">
        <f aca="false">IF(D49&lt;&gt;"",SUBSTITUTE(SUBSTITUTE(SUBSTITUTE(SUBSTITUTE(SUBSTITUTE(SUBSTITUTE(SUBSTITUTE(SUBSTITUTE(SUBSTITUTE(SUBSTITUTE(D49,"亚庇","Kota Kinabalu"),"公寓","Condo"),"排屋","Terrace"),"别墅","Villa"),"店铺","Shop"),"新山","Johor Bahru"),"市中心","City Centre"),"高级","Premium"),"单位","Unit"),"住宅","Residence"),"")</f>
        <v/>
      </c>
      <c r="Q49" s="31" t="str">
        <f aca="false">IF(D49&lt;&gt;"",SUBSTITUTE(SUBSTITUTE(SUBSTITUTE(SUBSTITUTE(SUBSTITUTE(SUBSTITUTE(SUBSTITUTE(SUBSTITUTE(SUBSTITUTE(SUBSTITUTE(D49,"亚庇","Kota Kinabalu"),"公寓","Kondominium"),"排屋","Rumah Teres"),"别墅","Vila"),"店铺","Kedai"),"新山","Johor Bahru"),"市中心","Pusat Bandar"),"高级","Premium"),"单位","Unit"),"住宅","Kediaman"),"")</f>
        <v/>
      </c>
      <c r="R49" s="31" t="str">
        <f aca="false">IF(D49&lt;&gt;"","📍 "&amp;IF(E49&lt;&gt;"",E49&amp;"房","")&amp;IF(F49&lt;&gt;"",F49&amp;"卫 ","")&amp;IF(G49&lt;&gt;"",G49&amp;" sqft","")&amp;IF(AND(OR(E49&lt;&gt;"",G49&lt;&gt;""),H49&lt;&gt;"")," · ","")&amp;IF(H49&lt;&gt;"",H49,""),"")</f>
        <v/>
      </c>
      <c r="S49" s="31" t="str">
        <f aca="false">IF(D49&lt;&gt;"","📍 "&amp;IF(E49&lt;&gt;"",E49&amp;"BR ","")&amp;IF(F49&lt;&gt;"",F49&amp;"BA ","")&amp;IF(G49&lt;&gt;"",G49&amp;" sqft","")&amp;IF(AND(OR(E49&lt;&gt;"",G49&lt;&gt;""),H49&lt;&gt;"")," · ","")&amp;IF(H49&lt;&gt;"",SUBSTITUTE(SUBSTITUTE(SUBSTITUTE(SUBSTITUTE(SUBSTITUTE(SUBSTITUTE(SUBSTITUTE(SUBSTITUTE(SUBSTITUTE(SUBSTITUTE(H49,"游泳池","Swimming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9" s="31" t="str">
        <f aca="false">IF(D49&lt;&gt;"","📍 "&amp;IF(E49&lt;&gt;"",E49&amp;"Bilik ","")&amp;IF(F49&lt;&gt;"",F49&amp;"Bilik Air ","")&amp;IF(G49&lt;&gt;"",G49&amp;" sqft","")&amp;IF(AND(OR(E49&lt;&gt;"",G49&lt;&gt;""),H49&lt;&gt;"")," · ","")&amp;IF(H49&lt;&gt;"",SUBSTITUTE(SUBSTITUTE(SUBSTITUTE(SUBSTITUTE(SUBSTITUTE(SUBSTITUTE(SUBSTITUTE(SUBSTITUTE(SUBSTITUTE(SUBSTITUTE(H49,"游泳池","Kolam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9" s="32" t="str">
        <f aca="false">IF(OR(I49&lt;&gt;"",J49&lt;&gt;"",K49&lt;&gt;""),"🔒 "&amp;IF(I49&lt;&gt;"",I49,"")&amp;IF(AND(I49&lt;&gt;"",J49&lt;&gt;"")," · ","")&amp;IF(J49&lt;&gt;"",J49,"")&amp;IF(AND(OR(I49&lt;&gt;"",J49&lt;&gt;""),K49&lt;&gt;"")," · ","")&amp;IF(K49&lt;&gt;"",K49,""),"")</f>
        <v/>
      </c>
      <c r="V49" s="31" t="str">
        <f aca="false">IF(L49&lt;&gt;"","💰 月租 RM "&amp;TEXT(L49,"#,##0"),"")</f>
        <v/>
      </c>
      <c r="W49" s="31" t="str">
        <f aca="false">IF(L49&lt;&gt;"","💰 Monthly Rent RM "&amp;TEXT(L49,"#,##0"),"")</f>
        <v/>
      </c>
      <c r="X49" s="31" t="str">
        <f aca="false">IF(L49&lt;&gt;"","💰 Sewa Bulanan RM "&amp;TEXT(L49,"#,##0"),"")</f>
        <v/>
      </c>
      <c r="Y49" s="33" t="str">
        <f aca="false">IF(D49&lt;&gt;"","您好！我想咨询出租：
🏠 "&amp;D49&amp;"
"&amp;IF(E49&lt;&gt;"","🛏 "&amp;E49&amp;"房"&amp;IF(F49&lt;&gt;""," "&amp;F49&amp;"卫","")&amp;"
","")&amp;IF(G49&lt;&gt;"","📐 "&amp;G49&amp;" sqft
","")&amp;IF(H49&lt;&gt;"","🏊 "&amp;H49&amp;"
","")&amp;IF(U49&lt;&gt;"",U49&amp;"
","")&amp;IF(L49&lt;&gt;"","💰 月租 RM "&amp;TEXT(L49,"#,##0")&amp;"
","")&amp;"
请问还有空档吗？谢谢！","")</f>
        <v/>
      </c>
      <c r="Z49" s="33" t="str">
        <f aca="false">IF(D49&lt;&gt;"","Hi! I'd like to make a rental enquiry:
🏠 "&amp;P49&amp;"
"&amp;IF(E49&lt;&gt;"","🛏 "&amp;E49&amp;"BR"&amp;IF(F49&lt;&gt;""," "&amp;F49&amp;"BA","")&amp;"
","")&amp;IF(G49&lt;&gt;"","📐 "&amp;G49&amp;" sqft
","")&amp;IF(H49&lt;&gt;"","🏊 "&amp;SUBSTITUTE(SUBSTITUTE(SUBSTITUTE(SUBSTITUTE(SUBSTITUTE(SUBSTITUTE(SUBSTITUTE(SUBSTITUTE(SUBSTITUTE(SUBSTITUTE(H49,"游泳池","Swimming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","")&amp;IF(L49&lt;&gt;"","💰 Monthly Rent RM "&amp;TEXT(L49,"#,##0")&amp;"
","")&amp;"
Is this still available? Thank you!","")</f>
        <v/>
      </c>
      <c r="AA49" s="31"/>
      <c r="AB49" s="33" t="str">
        <f aca="false">IF(D49&lt;&gt;"","Helo! Saya ingin membuat pertanyaan sewa:
🏠 "&amp;Q49&amp;"
"&amp;IF(E49&lt;&gt;"","🛏 "&amp;E49&amp;"Bilik"&amp;IF(F49&lt;&gt;""," "&amp;F49&amp;"Bilik Air","")&amp;"
","")&amp;IF(G49&lt;&gt;"","📐 "&amp;G49&amp;" sqft
","")&amp;IF(H49&lt;&gt;"","🏊 "&amp;SUBSTITUTE(SUBSTITUTE(SUBSTITUTE(SUBSTITUTE(SUBSTITUTE(SUBSTITUTE(SUBSTITUTE(SUBSTITUTE(SUBSTITUTE(SUBSTITUTE(H49,"游泳池","Kolam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","")&amp;IF(L49&lt;&gt;"","💰 Sewa Bulanan RM "&amp;TEXT(L49,"#,##0")&amp;"
","")&amp;"
Adakah masih tersedia? Terima kasih!","")</f>
        <v/>
      </c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9"/>
      <c r="J50" s="29"/>
      <c r="K50" s="29"/>
      <c r="L50" s="28"/>
      <c r="M50" s="30"/>
      <c r="N50" s="31" t="str">
        <f aca="false">IFERROR(ifs(B50="🏢 Condo 公寓","fa-building",B50="🏠 Apartment 单位","fa-home",B50="🌿 即租即住","fa-home",B50="🌿 近国际学校","fa-school",B50="📌 商业旺铺","fa-store",B50="🌟 海景豪宅","fa-water-ladder",B50="📈 投资优选","fa-chart-line",B50="🏞️ 花园住宅","fa-tree",B50="🌟 2026全新地标","fa-drafting-compass",B50="📈 海外投资优选","fa-globe",B50="🌆 核心地段","fa-city",B50="🔥 限时优惠","fa-fire",B50="✅ 永久产权","fa-certificate",B50="🏅 高回报","fa-medal",B50="🏖️ 度假胜地","fa-umbrella-beach",B50="🏫 学区优选","fa-graduation-cap",B50="🛣️ 交通便利","fa-road",B50="🔑 即买即住","fa-key"),"fa-home")</f>
        <v>fa-home</v>
      </c>
      <c r="O50" s="31" t="str">
        <f aca="false">IF(D50&lt;&gt;"",D50,"")</f>
        <v/>
      </c>
      <c r="P50" s="31" t="str">
        <f aca="false">IF(D50&lt;&gt;"",SUBSTITUTE(SUBSTITUTE(SUBSTITUTE(SUBSTITUTE(SUBSTITUTE(SUBSTITUTE(SUBSTITUTE(SUBSTITUTE(SUBSTITUTE(SUBSTITUTE(D50,"亚庇","Kota Kinabalu"),"公寓","Condo"),"排屋","Terrace"),"别墅","Villa"),"店铺","Shop"),"新山","Johor Bahru"),"市中心","City Centre"),"高级","Premium"),"单位","Unit"),"住宅","Residence"),"")</f>
        <v/>
      </c>
      <c r="Q50" s="31" t="str">
        <f aca="false">IF(D50&lt;&gt;"",SUBSTITUTE(SUBSTITUTE(SUBSTITUTE(SUBSTITUTE(SUBSTITUTE(SUBSTITUTE(SUBSTITUTE(SUBSTITUTE(SUBSTITUTE(SUBSTITUTE(D50,"亚庇","Kota Kinabalu"),"公寓","Kondominium"),"排屋","Rumah Teres"),"别墅","Vila"),"店铺","Kedai"),"新山","Johor Bahru"),"市中心","Pusat Bandar"),"高级","Premium"),"单位","Unit"),"住宅","Kediaman"),"")</f>
        <v/>
      </c>
      <c r="R50" s="31" t="str">
        <f aca="false">IF(D50&lt;&gt;"","📍 "&amp;IF(E50&lt;&gt;"",E50&amp;"房","")&amp;IF(F50&lt;&gt;"",F50&amp;"卫 ","")&amp;IF(G50&lt;&gt;"",G50&amp;" sqft","")&amp;IF(AND(OR(E50&lt;&gt;"",G50&lt;&gt;""),H50&lt;&gt;"")," · ","")&amp;IF(H50&lt;&gt;"",H50,""),"")</f>
        <v/>
      </c>
      <c r="S50" s="31" t="str">
        <f aca="false">IF(D50&lt;&gt;"","📍 "&amp;IF(E50&lt;&gt;"",E50&amp;"BR ","")&amp;IF(F50&lt;&gt;"",F50&amp;"BA ","")&amp;IF(G50&lt;&gt;"",G50&amp;" sqft","")&amp;IF(AND(OR(E50&lt;&gt;"",G50&lt;&gt;""),H50&lt;&gt;"")," · ","")&amp;IF(H50&lt;&gt;"",SUBSTITUTE(SUBSTITUTE(SUBSTITUTE(SUBSTITUTE(SUBSTITUTE(SUBSTITUTE(SUBSTITUTE(SUBSTITUTE(SUBSTITUTE(SUBSTITUTE(H50,"游泳池","Swimming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0" s="31" t="str">
        <f aca="false">IF(D50&lt;&gt;"","📍 "&amp;IF(E50&lt;&gt;"",E50&amp;"Bilik ","")&amp;IF(F50&lt;&gt;"",F50&amp;"Bilik Air ","")&amp;IF(G50&lt;&gt;"",G50&amp;" sqft","")&amp;IF(AND(OR(E50&lt;&gt;"",G50&lt;&gt;""),H50&lt;&gt;"")," · ","")&amp;IF(H50&lt;&gt;"",SUBSTITUTE(SUBSTITUTE(SUBSTITUTE(SUBSTITUTE(SUBSTITUTE(SUBSTITUTE(SUBSTITUTE(SUBSTITUTE(SUBSTITUTE(SUBSTITUTE(H50,"游泳池","Kolam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0" s="32" t="str">
        <f aca="false">IF(OR(I50&lt;&gt;"",J50&lt;&gt;"",K50&lt;&gt;""),"🔒 "&amp;IF(I50&lt;&gt;"",I50,"")&amp;IF(AND(I50&lt;&gt;"",J50&lt;&gt;"")," · ","")&amp;IF(J50&lt;&gt;"",J50,"")&amp;IF(AND(OR(I50&lt;&gt;"",J50&lt;&gt;""),K50&lt;&gt;"")," · ","")&amp;IF(K50&lt;&gt;"",K50,""),"")</f>
        <v/>
      </c>
      <c r="V50" s="31" t="str">
        <f aca="false">IF(L50&lt;&gt;"","💰 月租 RM "&amp;TEXT(L50,"#,##0"),"")</f>
        <v/>
      </c>
      <c r="W50" s="31" t="str">
        <f aca="false">IF(L50&lt;&gt;"","💰 Monthly Rent RM "&amp;TEXT(L50,"#,##0"),"")</f>
        <v/>
      </c>
      <c r="X50" s="31" t="str">
        <f aca="false">IF(L50&lt;&gt;"","💰 Sewa Bulanan RM "&amp;TEXT(L50,"#,##0"),"")</f>
        <v/>
      </c>
      <c r="Y50" s="33" t="str">
        <f aca="false">IF(D50&lt;&gt;"","您好！我想咨询出租：
🏠 "&amp;D50&amp;"
"&amp;IF(E50&lt;&gt;"","🛏 "&amp;E50&amp;"房"&amp;IF(F50&lt;&gt;""," "&amp;F50&amp;"卫","")&amp;"
","")&amp;IF(G50&lt;&gt;"","📐 "&amp;G50&amp;" sqft
","")&amp;IF(H50&lt;&gt;"","🏊 "&amp;H50&amp;"
","")&amp;IF(U50&lt;&gt;"",U50&amp;"
","")&amp;IF(L50&lt;&gt;"","💰 月租 RM "&amp;TEXT(L50,"#,##0")&amp;"
","")&amp;"
请问还有空档吗？谢谢！","")</f>
        <v/>
      </c>
      <c r="Z50" s="33" t="str">
        <f aca="false">IF(D50&lt;&gt;"","Hi! I'd like to make a rental enquiry:
🏠 "&amp;P50&amp;"
"&amp;IF(E50&lt;&gt;"","🛏 "&amp;E50&amp;"BR"&amp;IF(F50&lt;&gt;""," "&amp;F50&amp;"BA","")&amp;"
","")&amp;IF(G50&lt;&gt;"","📐 "&amp;G50&amp;" sqft
","")&amp;IF(H50&lt;&gt;"","🏊 "&amp;SUBSTITUTE(SUBSTITUTE(SUBSTITUTE(SUBSTITUTE(SUBSTITUTE(SUBSTITUTE(SUBSTITUTE(SUBSTITUTE(SUBSTITUTE(SUBSTITUTE(H50,"游泳池","Swimming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","")&amp;IF(L50&lt;&gt;"","💰 Monthly Rent RM "&amp;TEXT(L50,"#,##0")&amp;"
","")&amp;"
Is this still available? Thank you!","")</f>
        <v/>
      </c>
      <c r="AA50" s="31"/>
      <c r="AB50" s="33" t="str">
        <f aca="false">IF(D50&lt;&gt;"","Helo! Saya ingin membuat pertanyaan sewa:
🏠 "&amp;Q50&amp;"
"&amp;IF(E50&lt;&gt;"","🛏 "&amp;E50&amp;"Bilik"&amp;IF(F50&lt;&gt;""," "&amp;F50&amp;"Bilik Air","")&amp;"
","")&amp;IF(G50&lt;&gt;"","📐 "&amp;G50&amp;" sqft
","")&amp;IF(H50&lt;&gt;"","🏊 "&amp;SUBSTITUTE(SUBSTITUTE(SUBSTITUTE(SUBSTITUTE(SUBSTITUTE(SUBSTITUTE(SUBSTITUTE(SUBSTITUTE(SUBSTITUTE(SUBSTITUTE(H50,"游泳池","Kolam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","")&amp;IF(L50&lt;&gt;"","💰 Sewa Bulanan RM "&amp;TEXT(L50,"#,##0")&amp;"
","")&amp;"
Adakah masih tersedia? Terima kasih!","")</f>
        <v/>
      </c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9"/>
      <c r="J51" s="29"/>
      <c r="K51" s="29"/>
      <c r="L51" s="28"/>
      <c r="M51" s="30"/>
      <c r="N51" s="31" t="str">
        <f aca="false">IFERROR(ifs(B51="🏢 Condo 公寓","fa-building",B51="🏠 Apartment 单位","fa-home",B51="🌿 即租即住","fa-home",B51="🌿 近国际学校","fa-school",B51="📌 商业旺铺","fa-store",B51="🌟 海景豪宅","fa-water-ladder",B51="📈 投资优选","fa-chart-line",B51="🏞️ 花园住宅","fa-tree",B51="🌟 2026全新地标","fa-drafting-compass",B51="📈 海外投资优选","fa-globe",B51="🌆 核心地段","fa-city",B51="🔥 限时优惠","fa-fire",B51="✅ 永久产权","fa-certificate",B51="🏅 高回报","fa-medal",B51="🏖️ 度假胜地","fa-umbrella-beach",B51="🏫 学区优选","fa-graduation-cap",B51="🛣️ 交通便利","fa-road",B51="🔑 即买即住","fa-key"),"fa-home")</f>
        <v>fa-home</v>
      </c>
      <c r="O51" s="31" t="str">
        <f aca="false">IF(D51&lt;&gt;"",D51,"")</f>
        <v/>
      </c>
      <c r="P51" s="31" t="str">
        <f aca="false">IF(D51&lt;&gt;"",SUBSTITUTE(SUBSTITUTE(SUBSTITUTE(SUBSTITUTE(SUBSTITUTE(SUBSTITUTE(SUBSTITUTE(SUBSTITUTE(SUBSTITUTE(SUBSTITUTE(D51,"亚庇","Kota Kinabalu"),"公寓","Condo"),"排屋","Terrace"),"别墅","Villa"),"店铺","Shop"),"新山","Johor Bahru"),"市中心","City Centre"),"高级","Premium"),"单位","Unit"),"住宅","Residence"),"")</f>
        <v/>
      </c>
      <c r="Q51" s="31" t="str">
        <f aca="false">IF(D51&lt;&gt;"",SUBSTITUTE(SUBSTITUTE(SUBSTITUTE(SUBSTITUTE(SUBSTITUTE(SUBSTITUTE(SUBSTITUTE(SUBSTITUTE(SUBSTITUTE(SUBSTITUTE(D51,"亚庇","Kota Kinabalu"),"公寓","Kondominium"),"排屋","Rumah Teres"),"别墅","Vila"),"店铺","Kedai"),"新山","Johor Bahru"),"市中心","Pusat Bandar"),"高级","Premium"),"单位","Unit"),"住宅","Kediaman"),"")</f>
        <v/>
      </c>
      <c r="R51" s="31" t="str">
        <f aca="false">IF(D51&lt;&gt;"","📍 "&amp;IF(E51&lt;&gt;"",E51&amp;"房","")&amp;IF(F51&lt;&gt;"",F51&amp;"卫 ","")&amp;IF(G51&lt;&gt;"",G51&amp;" sqft","")&amp;IF(AND(OR(E51&lt;&gt;"",G51&lt;&gt;""),H51&lt;&gt;"")," · ","")&amp;IF(H51&lt;&gt;"",H51,""),"")</f>
        <v/>
      </c>
      <c r="S51" s="31" t="str">
        <f aca="false">IF(D51&lt;&gt;"","📍 "&amp;IF(E51&lt;&gt;"",E51&amp;"BR ","")&amp;IF(F51&lt;&gt;"",F51&amp;"BA ","")&amp;IF(G51&lt;&gt;"",G51&amp;" sqft","")&amp;IF(AND(OR(E51&lt;&gt;"",G51&lt;&gt;""),H51&lt;&gt;"")," · ","")&amp;IF(H51&lt;&gt;"",SUBSTITUTE(SUBSTITUTE(SUBSTITUTE(SUBSTITUTE(SUBSTITUTE(SUBSTITUTE(SUBSTITUTE(SUBSTITUTE(SUBSTITUTE(SUBSTITUTE(H51,"游泳池","Swimming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1" s="31" t="str">
        <f aca="false">IF(D51&lt;&gt;"","📍 "&amp;IF(E51&lt;&gt;"",E51&amp;"Bilik ","")&amp;IF(F51&lt;&gt;"",F51&amp;"Bilik Air ","")&amp;IF(G51&lt;&gt;"",G51&amp;" sqft","")&amp;IF(AND(OR(E51&lt;&gt;"",G51&lt;&gt;""),H51&lt;&gt;"")," · ","")&amp;IF(H51&lt;&gt;"",SUBSTITUTE(SUBSTITUTE(SUBSTITUTE(SUBSTITUTE(SUBSTITUTE(SUBSTITUTE(SUBSTITUTE(SUBSTITUTE(SUBSTITUTE(SUBSTITUTE(H51,"游泳池","Kolam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1" s="32" t="str">
        <f aca="false">IF(OR(I51&lt;&gt;"",J51&lt;&gt;"",K51&lt;&gt;""),"🔒 "&amp;IF(I51&lt;&gt;"",I51,"")&amp;IF(AND(I51&lt;&gt;"",J51&lt;&gt;"")," · ","")&amp;IF(J51&lt;&gt;"",J51,"")&amp;IF(AND(OR(I51&lt;&gt;"",J51&lt;&gt;""),K51&lt;&gt;"")," · ","")&amp;IF(K51&lt;&gt;"",K51,""),"")</f>
        <v/>
      </c>
      <c r="V51" s="31" t="str">
        <f aca="false">IF(L51&lt;&gt;"","💰 月租 RM "&amp;TEXT(L51,"#,##0"),"")</f>
        <v/>
      </c>
      <c r="W51" s="31" t="str">
        <f aca="false">IF(L51&lt;&gt;"","💰 Monthly Rent RM "&amp;TEXT(L51,"#,##0"),"")</f>
        <v/>
      </c>
      <c r="X51" s="31" t="str">
        <f aca="false">IF(L51&lt;&gt;"","💰 Sewa Bulanan RM "&amp;TEXT(L51,"#,##0"),"")</f>
        <v/>
      </c>
      <c r="Y51" s="33" t="str">
        <f aca="false">IF(D51&lt;&gt;"","您好！我想咨询出租：
🏠 "&amp;D51&amp;"
"&amp;IF(E51&lt;&gt;"","🛏 "&amp;E51&amp;"房"&amp;IF(F51&lt;&gt;""," "&amp;F51&amp;"卫","")&amp;"
","")&amp;IF(G51&lt;&gt;"","📐 "&amp;G51&amp;" sqft
","")&amp;IF(H51&lt;&gt;"","🏊 "&amp;H51&amp;"
","")&amp;IF(U51&lt;&gt;"",U51&amp;"
","")&amp;IF(L51&lt;&gt;"","💰 月租 RM "&amp;TEXT(L51,"#,##0")&amp;"
","")&amp;"
请问还有空档吗？谢谢！","")</f>
        <v/>
      </c>
      <c r="Z51" s="33" t="str">
        <f aca="false">IF(D51&lt;&gt;"","Hi! I'd like to make a rental enquiry:
🏠 "&amp;P51&amp;"
"&amp;IF(E51&lt;&gt;"","🛏 "&amp;E51&amp;"BR"&amp;IF(F51&lt;&gt;""," "&amp;F51&amp;"BA","")&amp;"
","")&amp;IF(G51&lt;&gt;"","📐 "&amp;G51&amp;" sqft
","")&amp;IF(H51&lt;&gt;"","🏊 "&amp;SUBSTITUTE(SUBSTITUTE(SUBSTITUTE(SUBSTITUTE(SUBSTITUTE(SUBSTITUTE(SUBSTITUTE(SUBSTITUTE(SUBSTITUTE(SUBSTITUTE(H51,"游泳池","Swimming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","")&amp;IF(L51&lt;&gt;"","💰 Monthly Rent RM "&amp;TEXT(L51,"#,##0")&amp;"
","")&amp;"
Is this still available? Thank you!","")</f>
        <v/>
      </c>
      <c r="AA51" s="31"/>
      <c r="AB51" s="33" t="str">
        <f aca="false">IF(D51&lt;&gt;"","Helo! Saya ingin membuat pertanyaan sewa:
🏠 "&amp;Q51&amp;"
"&amp;IF(E51&lt;&gt;"","🛏 "&amp;E51&amp;"Bilik"&amp;IF(F51&lt;&gt;""," "&amp;F51&amp;"Bilik Air","")&amp;"
","")&amp;IF(G51&lt;&gt;"","📐 "&amp;G51&amp;" sqft
","")&amp;IF(H51&lt;&gt;"","🏊 "&amp;SUBSTITUTE(SUBSTITUTE(SUBSTITUTE(SUBSTITUTE(SUBSTITUTE(SUBSTITUTE(SUBSTITUTE(SUBSTITUTE(SUBSTITUTE(SUBSTITUTE(H51,"游泳池","Kolam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","")&amp;IF(L51&lt;&gt;"","💰 Sewa Bulanan RM "&amp;TEXT(L51,"#,##0")&amp;"
","")&amp;"
Adakah masih tersedia? Terima kasih!","")</f>
        <v/>
      </c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9"/>
      <c r="J52" s="29"/>
      <c r="K52" s="29"/>
      <c r="L52" s="28"/>
      <c r="M52" s="30"/>
      <c r="N52" s="31" t="str">
        <f aca="false">IFERROR(ifs(B52="🏢 Condo 公寓","fa-building",B52="🏠 Apartment 单位","fa-home",B52="🌿 即租即住","fa-home",B52="🌿 近国际学校","fa-school",B52="📌 商业旺铺","fa-store",B52="🌟 海景豪宅","fa-water-ladder",B52="📈 投资优选","fa-chart-line",B52="🏞️ 花园住宅","fa-tree",B52="🌟 2026全新地标","fa-drafting-compass",B52="📈 海外投资优选","fa-globe",B52="🌆 核心地段","fa-city",B52="🔥 限时优惠","fa-fire",B52="✅ 永久产权","fa-certificate",B52="🏅 高回报","fa-medal",B52="🏖️ 度假胜地","fa-umbrella-beach",B52="🏫 学区优选","fa-graduation-cap",B52="🛣️ 交通便利","fa-road",B52="🔑 即买即住","fa-key"),"fa-home")</f>
        <v>fa-home</v>
      </c>
      <c r="O52" s="31" t="str">
        <f aca="false">IF(D52&lt;&gt;"",D52,"")</f>
        <v/>
      </c>
      <c r="P52" s="31" t="str">
        <f aca="false">IF(D52&lt;&gt;"",SUBSTITUTE(SUBSTITUTE(SUBSTITUTE(SUBSTITUTE(SUBSTITUTE(SUBSTITUTE(SUBSTITUTE(SUBSTITUTE(SUBSTITUTE(SUBSTITUTE(D52,"亚庇","Kota Kinabalu"),"公寓","Condo"),"排屋","Terrace"),"别墅","Villa"),"店铺","Shop"),"新山","Johor Bahru"),"市中心","City Centre"),"高级","Premium"),"单位","Unit"),"住宅","Residence"),"")</f>
        <v/>
      </c>
      <c r="Q52" s="31" t="str">
        <f aca="false">IF(D52&lt;&gt;"",SUBSTITUTE(SUBSTITUTE(SUBSTITUTE(SUBSTITUTE(SUBSTITUTE(SUBSTITUTE(SUBSTITUTE(SUBSTITUTE(SUBSTITUTE(SUBSTITUTE(D52,"亚庇","Kota Kinabalu"),"公寓","Kondominium"),"排屋","Rumah Teres"),"别墅","Vila"),"店铺","Kedai"),"新山","Johor Bahru"),"市中心","Pusat Bandar"),"高级","Premium"),"单位","Unit"),"住宅","Kediaman"),"")</f>
        <v/>
      </c>
      <c r="R52" s="31" t="str">
        <f aca="false">IF(D52&lt;&gt;"","📍 "&amp;IF(E52&lt;&gt;"",E52&amp;"房","")&amp;IF(F52&lt;&gt;"",F52&amp;"卫 ","")&amp;IF(G52&lt;&gt;"",G52&amp;" sqft","")&amp;IF(AND(OR(E52&lt;&gt;"",G52&lt;&gt;""),H52&lt;&gt;"")," · ","")&amp;IF(H52&lt;&gt;"",H52,""),"")</f>
        <v/>
      </c>
      <c r="S52" s="31" t="str">
        <f aca="false">IF(D52&lt;&gt;"","📍 "&amp;IF(E52&lt;&gt;"",E52&amp;"BR ","")&amp;IF(F52&lt;&gt;"",F52&amp;"BA ","")&amp;IF(G52&lt;&gt;"",G52&amp;" sqft","")&amp;IF(AND(OR(E52&lt;&gt;"",G52&lt;&gt;""),H52&lt;&gt;"")," · ","")&amp;IF(H52&lt;&gt;"",SUBSTITUTE(SUBSTITUTE(SUBSTITUTE(SUBSTITUTE(SUBSTITUTE(SUBSTITUTE(SUBSTITUTE(SUBSTITUTE(SUBSTITUTE(SUBSTITUTE(H52,"游泳池","Swimming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2" s="31" t="str">
        <f aca="false">IF(D52&lt;&gt;"","📍 "&amp;IF(E52&lt;&gt;"",E52&amp;"Bilik ","")&amp;IF(F52&lt;&gt;"",F52&amp;"Bilik Air ","")&amp;IF(G52&lt;&gt;"",G52&amp;" sqft","")&amp;IF(AND(OR(E52&lt;&gt;"",G52&lt;&gt;""),H52&lt;&gt;"")," · ","")&amp;IF(H52&lt;&gt;"",SUBSTITUTE(SUBSTITUTE(SUBSTITUTE(SUBSTITUTE(SUBSTITUTE(SUBSTITUTE(SUBSTITUTE(SUBSTITUTE(SUBSTITUTE(SUBSTITUTE(H52,"游泳池","Kolam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2" s="32" t="str">
        <f aca="false">IF(OR(I52&lt;&gt;"",J52&lt;&gt;"",K52&lt;&gt;""),"🔒 "&amp;IF(I52&lt;&gt;"",I52,"")&amp;IF(AND(I52&lt;&gt;"",J52&lt;&gt;"")," · ","")&amp;IF(J52&lt;&gt;"",J52,"")&amp;IF(AND(OR(I52&lt;&gt;"",J52&lt;&gt;""),K52&lt;&gt;"")," · ","")&amp;IF(K52&lt;&gt;"",K52,""),"")</f>
        <v/>
      </c>
      <c r="V52" s="31" t="str">
        <f aca="false">IF(L52&lt;&gt;"","💰 月租 RM "&amp;TEXT(L52,"#,##0"),"")</f>
        <v/>
      </c>
      <c r="W52" s="31" t="str">
        <f aca="false">IF(L52&lt;&gt;"","💰 Monthly Rent RM "&amp;TEXT(L52,"#,##0"),"")</f>
        <v/>
      </c>
      <c r="X52" s="31" t="str">
        <f aca="false">IF(L52&lt;&gt;"","💰 Sewa Bulanan RM "&amp;TEXT(L52,"#,##0"),"")</f>
        <v/>
      </c>
      <c r="Y52" s="33" t="str">
        <f aca="false">IF(D52&lt;&gt;"","您好！我想咨询出租：
🏠 "&amp;D52&amp;"
"&amp;IF(E52&lt;&gt;"","🛏 "&amp;E52&amp;"房"&amp;IF(F52&lt;&gt;""," "&amp;F52&amp;"卫","")&amp;"
","")&amp;IF(G52&lt;&gt;"","📐 "&amp;G52&amp;" sqft
","")&amp;IF(H52&lt;&gt;"","🏊 "&amp;H52&amp;"
","")&amp;IF(U52&lt;&gt;"",U52&amp;"
","")&amp;IF(L52&lt;&gt;"","💰 月租 RM "&amp;TEXT(L52,"#,##0")&amp;"
","")&amp;"
请问还有空档吗？谢谢！","")</f>
        <v/>
      </c>
      <c r="Z52" s="33" t="str">
        <f aca="false">IF(D52&lt;&gt;"","Hi! I'd like to make a rental enquiry:
🏠 "&amp;P52&amp;"
"&amp;IF(E52&lt;&gt;"","🛏 "&amp;E52&amp;"BR"&amp;IF(F52&lt;&gt;""," "&amp;F52&amp;"BA","")&amp;"
","")&amp;IF(G52&lt;&gt;"","📐 "&amp;G52&amp;" sqft
","")&amp;IF(H52&lt;&gt;"","🏊 "&amp;SUBSTITUTE(SUBSTITUTE(SUBSTITUTE(SUBSTITUTE(SUBSTITUTE(SUBSTITUTE(SUBSTITUTE(SUBSTITUTE(SUBSTITUTE(SUBSTITUTE(H52,"游泳池","Swimming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","")&amp;IF(L52&lt;&gt;"","💰 Monthly Rent RM "&amp;TEXT(L52,"#,##0")&amp;"
","")&amp;"
Is this still available? Thank you!","")</f>
        <v/>
      </c>
      <c r="AA52" s="31"/>
      <c r="AB52" s="33" t="str">
        <f aca="false">IF(D52&lt;&gt;"","Helo! Saya ingin membuat pertanyaan sewa:
🏠 "&amp;Q52&amp;"
"&amp;IF(E52&lt;&gt;"","🛏 "&amp;E52&amp;"Bilik"&amp;IF(F52&lt;&gt;""," "&amp;F52&amp;"Bilik Air","")&amp;"
","")&amp;IF(G52&lt;&gt;"","📐 "&amp;G52&amp;" sqft
","")&amp;IF(H52&lt;&gt;"","🏊 "&amp;SUBSTITUTE(SUBSTITUTE(SUBSTITUTE(SUBSTITUTE(SUBSTITUTE(SUBSTITUTE(SUBSTITUTE(SUBSTITUTE(SUBSTITUTE(SUBSTITUTE(H52,"游泳池","Kolam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","")&amp;IF(L52&lt;&gt;"","💰 Sewa Bulanan RM "&amp;TEXT(L52,"#,##0")&amp;"
","")&amp;"
Adakah masih tersedia? Terima kasih!","")</f>
        <v/>
      </c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9"/>
      <c r="J53" s="29"/>
      <c r="K53" s="29"/>
      <c r="L53" s="28"/>
      <c r="M53" s="30"/>
      <c r="N53" s="31" t="str">
        <f aca="false">IFERROR(ifs(B53="🏢 Condo 公寓","fa-building",B53="🏠 Apartment 单位","fa-home",B53="🌿 即租即住","fa-home",B53="🌿 近国际学校","fa-school",B53="📌 商业旺铺","fa-store",B53="🌟 海景豪宅","fa-water-ladder",B53="📈 投资优选","fa-chart-line",B53="🏞️ 花园住宅","fa-tree",B53="🌟 2026全新地标","fa-drafting-compass",B53="📈 海外投资优选","fa-globe",B53="🌆 核心地段","fa-city",B53="🔥 限时优惠","fa-fire",B53="✅ 永久产权","fa-certificate",B53="🏅 高回报","fa-medal",B53="🏖️ 度假胜地","fa-umbrella-beach",B53="🏫 学区优选","fa-graduation-cap",B53="🛣️ 交通便利","fa-road",B53="🔑 即买即住","fa-key"),"fa-home")</f>
        <v>fa-home</v>
      </c>
      <c r="O53" s="31" t="str">
        <f aca="false">IF(D53&lt;&gt;"",D53,"")</f>
        <v/>
      </c>
      <c r="P53" s="31" t="str">
        <f aca="false">IF(D53&lt;&gt;"",SUBSTITUTE(SUBSTITUTE(SUBSTITUTE(SUBSTITUTE(SUBSTITUTE(SUBSTITUTE(SUBSTITUTE(SUBSTITUTE(SUBSTITUTE(SUBSTITUTE(D53,"亚庇","Kota Kinabalu"),"公寓","Condo"),"排屋","Terrace"),"别墅","Villa"),"店铺","Shop"),"新山","Johor Bahru"),"市中心","City Centre"),"高级","Premium"),"单位","Unit"),"住宅","Residence"),"")</f>
        <v/>
      </c>
      <c r="Q53" s="31" t="str">
        <f aca="false">IF(D53&lt;&gt;"",SUBSTITUTE(SUBSTITUTE(SUBSTITUTE(SUBSTITUTE(SUBSTITUTE(SUBSTITUTE(SUBSTITUTE(SUBSTITUTE(SUBSTITUTE(SUBSTITUTE(D53,"亚庇","Kota Kinabalu"),"公寓","Kondominium"),"排屋","Rumah Teres"),"别墅","Vila"),"店铺","Kedai"),"新山","Johor Bahru"),"市中心","Pusat Bandar"),"高级","Premium"),"单位","Unit"),"住宅","Kediaman"),"")</f>
        <v/>
      </c>
      <c r="R53" s="31" t="str">
        <f aca="false">IF(D53&lt;&gt;"","📍 "&amp;IF(E53&lt;&gt;"",E53&amp;"房","")&amp;IF(F53&lt;&gt;"",F53&amp;"卫 ","")&amp;IF(G53&lt;&gt;"",G53&amp;" sqft","")&amp;IF(AND(OR(E53&lt;&gt;"",G53&lt;&gt;""),H53&lt;&gt;"")," · ","")&amp;IF(H53&lt;&gt;"",H53,""),"")</f>
        <v/>
      </c>
      <c r="S53" s="31" t="str">
        <f aca="false">IF(D53&lt;&gt;"","📍 "&amp;IF(E53&lt;&gt;"",E53&amp;"BR ","")&amp;IF(F53&lt;&gt;"",F53&amp;"BA ","")&amp;IF(G53&lt;&gt;"",G53&amp;" sqft","")&amp;IF(AND(OR(E53&lt;&gt;"",G53&lt;&gt;""),H53&lt;&gt;"")," · ","")&amp;IF(H53&lt;&gt;"",SUBSTITUTE(SUBSTITUTE(SUBSTITUTE(SUBSTITUTE(SUBSTITUTE(SUBSTITUTE(SUBSTITUTE(SUBSTITUTE(SUBSTITUTE(SUBSTITUTE(H53,"游泳池","Swimming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3" s="31" t="str">
        <f aca="false">IF(D53&lt;&gt;"","📍 "&amp;IF(E53&lt;&gt;"",E53&amp;"Bilik ","")&amp;IF(F53&lt;&gt;"",F53&amp;"Bilik Air ","")&amp;IF(G53&lt;&gt;"",G53&amp;" sqft","")&amp;IF(AND(OR(E53&lt;&gt;"",G53&lt;&gt;""),H53&lt;&gt;"")," · ","")&amp;IF(H53&lt;&gt;"",SUBSTITUTE(SUBSTITUTE(SUBSTITUTE(SUBSTITUTE(SUBSTITUTE(SUBSTITUTE(SUBSTITUTE(SUBSTITUTE(SUBSTITUTE(SUBSTITUTE(H53,"游泳池","Kolam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3" s="32" t="str">
        <f aca="false">IF(OR(I53&lt;&gt;"",J53&lt;&gt;"",K53&lt;&gt;""),"🔒 "&amp;IF(I53&lt;&gt;"",I53,"")&amp;IF(AND(I53&lt;&gt;"",J53&lt;&gt;"")," · ","")&amp;IF(J53&lt;&gt;"",J53,"")&amp;IF(AND(OR(I53&lt;&gt;"",J53&lt;&gt;""),K53&lt;&gt;"")," · ","")&amp;IF(K53&lt;&gt;"",K53,""),"")</f>
        <v/>
      </c>
      <c r="V53" s="31" t="str">
        <f aca="false">IF(L53&lt;&gt;"","💰 月租 RM "&amp;TEXT(L53,"#,##0"),"")</f>
        <v/>
      </c>
      <c r="W53" s="31" t="str">
        <f aca="false">IF(L53&lt;&gt;"","💰 Monthly Rent RM "&amp;TEXT(L53,"#,##0"),"")</f>
        <v/>
      </c>
      <c r="X53" s="31" t="str">
        <f aca="false">IF(L53&lt;&gt;"","💰 Sewa Bulanan RM "&amp;TEXT(L53,"#,##0"),"")</f>
        <v/>
      </c>
      <c r="Y53" s="33" t="str">
        <f aca="false">IF(D53&lt;&gt;"","您好！我想咨询出租：
🏠 "&amp;D53&amp;"
"&amp;IF(E53&lt;&gt;"","🛏 "&amp;E53&amp;"房"&amp;IF(F53&lt;&gt;""," "&amp;F53&amp;"卫","")&amp;"
","")&amp;IF(G53&lt;&gt;"","📐 "&amp;G53&amp;" sqft
","")&amp;IF(H53&lt;&gt;"","🏊 "&amp;H53&amp;"
","")&amp;IF(U53&lt;&gt;"",U53&amp;"
","")&amp;IF(L53&lt;&gt;"","💰 月租 RM "&amp;TEXT(L53,"#,##0")&amp;"
","")&amp;"
请问还有空档吗？谢谢！","")</f>
        <v/>
      </c>
      <c r="Z53" s="33" t="str">
        <f aca="false">IF(D53&lt;&gt;"","Hi! I'd like to make a rental enquiry:
🏠 "&amp;P53&amp;"
"&amp;IF(E53&lt;&gt;"","🛏 "&amp;E53&amp;"BR"&amp;IF(F53&lt;&gt;""," "&amp;F53&amp;"BA","")&amp;"
","")&amp;IF(G53&lt;&gt;"","📐 "&amp;G53&amp;" sqft
","")&amp;IF(H53&lt;&gt;"","🏊 "&amp;SUBSTITUTE(SUBSTITUTE(SUBSTITUTE(SUBSTITUTE(SUBSTITUTE(SUBSTITUTE(SUBSTITUTE(SUBSTITUTE(SUBSTITUTE(SUBSTITUTE(H53,"游泳池","Swimming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","")&amp;IF(L53&lt;&gt;"","💰 Monthly Rent RM "&amp;TEXT(L53,"#,##0")&amp;"
","")&amp;"
Is this still available? Thank you!","")</f>
        <v/>
      </c>
      <c r="AA53" s="31"/>
      <c r="AB53" s="33" t="str">
        <f aca="false">IF(D53&lt;&gt;"","Helo! Saya ingin membuat pertanyaan sewa:
🏠 "&amp;Q53&amp;"
"&amp;IF(E53&lt;&gt;"","🛏 "&amp;E53&amp;"Bilik"&amp;IF(F53&lt;&gt;""," "&amp;F53&amp;"Bilik Air","")&amp;"
","")&amp;IF(G53&lt;&gt;"","📐 "&amp;G53&amp;" sqft
","")&amp;IF(H53&lt;&gt;"","🏊 "&amp;SUBSTITUTE(SUBSTITUTE(SUBSTITUTE(SUBSTITUTE(SUBSTITUTE(SUBSTITUTE(SUBSTITUTE(SUBSTITUTE(SUBSTITUTE(SUBSTITUTE(H53,"游泳池","Kolam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","")&amp;IF(L53&lt;&gt;"","💰 Sewa Bulanan RM "&amp;TEXT(L53,"#,##0")&amp;"
","")&amp;"
Adakah masih tersedia? Terima kasih!","")</f>
        <v/>
      </c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9"/>
      <c r="J54" s="29"/>
      <c r="K54" s="29"/>
      <c r="L54" s="28"/>
      <c r="M54" s="30"/>
      <c r="N54" s="31" t="str">
        <f aca="false">IFERROR(ifs(B54="🏢 Condo 公寓","fa-building",B54="🏠 Apartment 单位","fa-home",B54="🌿 即租即住","fa-home",B54="🌿 近国际学校","fa-school",B54="📌 商业旺铺","fa-store",B54="🌟 海景豪宅","fa-water-ladder",B54="📈 投资优选","fa-chart-line",B54="🏞️ 花园住宅","fa-tree",B54="🌟 2026全新地标","fa-drafting-compass",B54="📈 海外投资优选","fa-globe",B54="🌆 核心地段","fa-city",B54="🔥 限时优惠","fa-fire",B54="✅ 永久产权","fa-certificate",B54="🏅 高回报","fa-medal",B54="🏖️ 度假胜地","fa-umbrella-beach",B54="🏫 学区优选","fa-graduation-cap",B54="🛣️ 交通便利","fa-road",B54="🔑 即买即住","fa-key"),"fa-home")</f>
        <v>fa-home</v>
      </c>
      <c r="O54" s="31" t="str">
        <f aca="false">IF(D54&lt;&gt;"",D54,"")</f>
        <v/>
      </c>
      <c r="P54" s="31" t="str">
        <f aca="false">IF(D54&lt;&gt;"",SUBSTITUTE(SUBSTITUTE(SUBSTITUTE(SUBSTITUTE(SUBSTITUTE(SUBSTITUTE(SUBSTITUTE(SUBSTITUTE(SUBSTITUTE(SUBSTITUTE(D54,"亚庇","Kota Kinabalu"),"公寓","Condo"),"排屋","Terrace"),"别墅","Villa"),"店铺","Shop"),"新山","Johor Bahru"),"市中心","City Centre"),"高级","Premium"),"单位","Unit"),"住宅","Residence"),"")</f>
        <v/>
      </c>
      <c r="Q54" s="31" t="str">
        <f aca="false">IF(D54&lt;&gt;"",SUBSTITUTE(SUBSTITUTE(SUBSTITUTE(SUBSTITUTE(SUBSTITUTE(SUBSTITUTE(SUBSTITUTE(SUBSTITUTE(SUBSTITUTE(SUBSTITUTE(D54,"亚庇","Kota Kinabalu"),"公寓","Kondominium"),"排屋","Rumah Teres"),"别墅","Vila"),"店铺","Kedai"),"新山","Johor Bahru"),"市中心","Pusat Bandar"),"高级","Premium"),"单位","Unit"),"住宅","Kediaman"),"")</f>
        <v/>
      </c>
      <c r="R54" s="31" t="str">
        <f aca="false">IF(D54&lt;&gt;"","📍 "&amp;IF(E54&lt;&gt;"",E54&amp;"房","")&amp;IF(F54&lt;&gt;"",F54&amp;"卫 ","")&amp;IF(G54&lt;&gt;"",G54&amp;" sqft","")&amp;IF(AND(OR(E54&lt;&gt;"",G54&lt;&gt;""),H54&lt;&gt;"")," · ","")&amp;IF(H54&lt;&gt;"",H54,""),"")</f>
        <v/>
      </c>
      <c r="S54" s="31" t="str">
        <f aca="false">IF(D54&lt;&gt;"","📍 "&amp;IF(E54&lt;&gt;"",E54&amp;"BR ","")&amp;IF(F54&lt;&gt;"",F54&amp;"BA ","")&amp;IF(G54&lt;&gt;"",G54&amp;" sqft","")&amp;IF(AND(OR(E54&lt;&gt;"",G54&lt;&gt;""),H54&lt;&gt;"")," · ","")&amp;IF(H54&lt;&gt;"",SUBSTITUTE(SUBSTITUTE(SUBSTITUTE(SUBSTITUTE(SUBSTITUTE(SUBSTITUTE(SUBSTITUTE(SUBSTITUTE(SUBSTITUTE(SUBSTITUTE(H54,"游泳池","Swimming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4" s="31" t="str">
        <f aca="false">IF(D54&lt;&gt;"","📍 "&amp;IF(E54&lt;&gt;"",E54&amp;"Bilik ","")&amp;IF(F54&lt;&gt;"",F54&amp;"Bilik Air ","")&amp;IF(G54&lt;&gt;"",G54&amp;" sqft","")&amp;IF(AND(OR(E54&lt;&gt;"",G54&lt;&gt;""),H54&lt;&gt;"")," · ","")&amp;IF(H54&lt;&gt;"",SUBSTITUTE(SUBSTITUTE(SUBSTITUTE(SUBSTITUTE(SUBSTITUTE(SUBSTITUTE(SUBSTITUTE(SUBSTITUTE(SUBSTITUTE(SUBSTITUTE(H54,"游泳池","Kolam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4" s="32" t="str">
        <f aca="false">IF(OR(I54&lt;&gt;"",J54&lt;&gt;"",K54&lt;&gt;""),"🔒 "&amp;IF(I54&lt;&gt;"",I54,"")&amp;IF(AND(I54&lt;&gt;"",J54&lt;&gt;"")," · ","")&amp;IF(J54&lt;&gt;"",J54,"")&amp;IF(AND(OR(I54&lt;&gt;"",J54&lt;&gt;""),K54&lt;&gt;"")," · ","")&amp;IF(K54&lt;&gt;"",K54,""),"")</f>
        <v/>
      </c>
      <c r="V54" s="31" t="str">
        <f aca="false">IF(L54&lt;&gt;"","💰 月租 RM "&amp;TEXT(L54,"#,##0"),"")</f>
        <v/>
      </c>
      <c r="W54" s="31" t="str">
        <f aca="false">IF(L54&lt;&gt;"","💰 Monthly Rent RM "&amp;TEXT(L54,"#,##0"),"")</f>
        <v/>
      </c>
      <c r="X54" s="31" t="str">
        <f aca="false">IF(L54&lt;&gt;"","💰 Sewa Bulanan RM "&amp;TEXT(L54,"#,##0"),"")</f>
        <v/>
      </c>
      <c r="Y54" s="33" t="str">
        <f aca="false">IF(D54&lt;&gt;"","您好！我想咨询出租：
🏠 "&amp;D54&amp;"
"&amp;IF(E54&lt;&gt;"","🛏 "&amp;E54&amp;"房"&amp;IF(F54&lt;&gt;""," "&amp;F54&amp;"卫","")&amp;"
","")&amp;IF(G54&lt;&gt;"","📐 "&amp;G54&amp;" sqft
","")&amp;IF(H54&lt;&gt;"","🏊 "&amp;H54&amp;"
","")&amp;IF(U54&lt;&gt;"",U54&amp;"
","")&amp;IF(L54&lt;&gt;"","💰 月租 RM "&amp;TEXT(L54,"#,##0")&amp;"
","")&amp;"
请问还有空档吗？谢谢！","")</f>
        <v/>
      </c>
      <c r="Z54" s="33" t="str">
        <f aca="false">IF(D54&lt;&gt;"","Hi! I'd like to make a rental enquiry:
🏠 "&amp;P54&amp;"
"&amp;IF(E54&lt;&gt;"","🛏 "&amp;E54&amp;"BR"&amp;IF(F54&lt;&gt;""," "&amp;F54&amp;"BA","")&amp;"
","")&amp;IF(G54&lt;&gt;"","📐 "&amp;G54&amp;" sqft
","")&amp;IF(H54&lt;&gt;"","🏊 "&amp;SUBSTITUTE(SUBSTITUTE(SUBSTITUTE(SUBSTITUTE(SUBSTITUTE(SUBSTITUTE(SUBSTITUTE(SUBSTITUTE(SUBSTITUTE(SUBSTITUTE(H54,"游泳池","Swimming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","")&amp;IF(L54&lt;&gt;"","💰 Monthly Rent RM "&amp;TEXT(L54,"#,##0")&amp;"
","")&amp;"
Is this still available? Thank you!","")</f>
        <v/>
      </c>
      <c r="AA54" s="31"/>
      <c r="AB54" s="33" t="str">
        <f aca="false">IF(D54&lt;&gt;"","Helo! Saya ingin membuat pertanyaan sewa:
🏠 "&amp;Q54&amp;"
"&amp;IF(E54&lt;&gt;"","🛏 "&amp;E54&amp;"Bilik"&amp;IF(F54&lt;&gt;""," "&amp;F54&amp;"Bilik Air","")&amp;"
","")&amp;IF(G54&lt;&gt;"","📐 "&amp;G54&amp;" sqft
","")&amp;IF(H54&lt;&gt;"","🏊 "&amp;SUBSTITUTE(SUBSTITUTE(SUBSTITUTE(SUBSTITUTE(SUBSTITUTE(SUBSTITUTE(SUBSTITUTE(SUBSTITUTE(SUBSTITUTE(SUBSTITUTE(H54,"游泳池","Kolam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","")&amp;IF(L54&lt;&gt;"","💰 Sewa Bulanan RM "&amp;TEXT(L54,"#,##0")&amp;"
","")&amp;"
Adakah masih tersedia? Terima kasih!","")</f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3">
    <cfRule type="containsText" priority="2" operator="containsText" aboveAverage="0" equalAverage="0" bottom="0" percent="0" rank="0" text="inactive" dxfId="0">
      <formula>NOT(ISERROR(SEARCH("inactive",A5)))</formula>
    </cfRule>
  </conditionalFormatting>
  <dataValidations count="8">
    <dataValidation allowBlank="true" errorStyle="stop" operator="between" showDropDown="false" showErrorMessage="false" showInputMessage="false" sqref="A5:A54" type="list">
      <formula1>"active,inactive"</formula1>
      <formula2>0</formula2>
    </dataValidation>
    <dataValidation allowBlank="true" errorStyle="stop" operator="between" showDropDown="false" showErrorMessage="false" showInputMessage="false" sqref="B5:B54" type="list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  <formula2>0</formula2>
    </dataValidation>
    <dataValidation allowBlank="true" errorStyle="stop" operator="between" showDropDown="false" showErrorMessage="false" showInputMessage="false" sqref="F5:F54" type="list">
      <formula1>"1,2,3,4,5"</formula1>
      <formula2>0</formula2>
    </dataValidation>
    <dataValidation allowBlank="true" errorStyle="stop" operator="between" showDropDown="false" showErrorMessage="false" showInputMessage="false" sqref="E5:E54" type="list">
      <formula1>"Studio,1,2,3,4,5,6"</formula1>
      <formula2>0</formula2>
    </dataValidation>
    <dataValidation allowBlank="true" errorStyle="stop" operator="between" showDropDown="false" showErrorMessage="false" showInputMessage="false" sqref="I5:I54" type="list">
      <formula1>"24小时保安,保安亭,无保安"</formula1>
      <formula2>0</formula2>
    </dataValidation>
    <dataValidation allowBlank="true" errorStyle="stop" operator="between" showDropDown="false" showErrorMessage="false" showInputMessage="false" sqref="J5:J54" type="list">
      <formula1>"CCTV监控,无CCTV监控"</formula1>
      <formula2>0</formula2>
    </dataValidation>
    <dataValidation allowBlank="true" errorStyle="stop" operator="between" showDropDown="false" showErrorMessage="false" showInputMessage="false" sqref="K5:K54" type="list">
      <formula1>"等级1门禁,等级2门禁,等级3门禁,等级4门禁,等级5门禁,等级6门禁,无门禁"</formula1>
      <formula2>0</formula2>
    </dataValidation>
    <dataValidation allowBlank="true" errorStyle="stop" operator="between" showDropDown="false" showErrorMessage="false" showInputMessage="false" sqref="M5:M54" type="list">
      <formula1>"已出租 Rented,已售出 Sold,装修中 Renovating,议价空间 Negotiable,业主急售 Urgent,新上市 New Listing,独家代理 Exclusive,联系业主 Contact Owner,看房需预约 By Appt,短租可议 Short Stay"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A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7" min="5" style="1" width="10"/>
    <col collapsed="false" customWidth="true" hidden="false" outlineLevel="0" max="8" min="8" style="1" width="22"/>
    <col collapsed="false" customWidth="true" hidden="false" outlineLevel="0" max="11" min="9" style="1" width="14"/>
    <col collapsed="false" customWidth="true" hidden="false" outlineLevel="0" max="14" min="12" style="1" width="12"/>
    <col collapsed="false" customWidth="true" hidden="false" outlineLevel="0" max="17" min="15" style="1" width="24"/>
    <col collapsed="false" customWidth="true" hidden="false" outlineLevel="0" max="21" min="18" style="1" width="30"/>
    <col collapsed="false" customWidth="true" hidden="false" outlineLevel="0" max="24" min="22" style="1" width="20"/>
    <col collapsed="false" customWidth="true" hidden="false" outlineLevel="0" max="26" min="25" style="1" width="30"/>
    <col collapsed="false" customWidth="true" hidden="false" outlineLevel="0" max="27" min="27" style="1" width="5"/>
    <col collapsed="false" customWidth="true" hidden="false" outlineLevel="0" max="28" min="28" style="1" width="30"/>
  </cols>
  <sheetData>
    <row r="1" customFormat="false" ht="31.5" hidden="false" customHeight="true" outlineLevel="0" collapsed="false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7"/>
      <c r="T1" s="17"/>
      <c r="U1" s="17"/>
      <c r="V1" s="17"/>
      <c r="W1" s="17"/>
      <c r="X1" s="17"/>
    </row>
    <row r="2" customFormat="false" ht="21.75" hidden="false" customHeight="true" outlineLevel="0" collapsed="false">
      <c r="A2" s="18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customFormat="false" ht="36" hidden="false" customHeight="true" outlineLevel="0" collapsed="false">
      <c r="A3" s="19" t="s">
        <v>47</v>
      </c>
      <c r="B3" s="19" t="s">
        <v>48</v>
      </c>
      <c r="C3" s="19" t="s">
        <v>49</v>
      </c>
      <c r="D3" s="19" t="s">
        <v>50</v>
      </c>
      <c r="E3" s="19" t="s">
        <v>51</v>
      </c>
      <c r="F3" s="19" t="s">
        <v>52</v>
      </c>
      <c r="G3" s="19" t="s">
        <v>53</v>
      </c>
      <c r="H3" s="19" t="s">
        <v>54</v>
      </c>
      <c r="I3" s="20" t="s">
        <v>55</v>
      </c>
      <c r="J3" s="21" t="s">
        <v>56</v>
      </c>
      <c r="K3" s="20" t="s">
        <v>57</v>
      </c>
      <c r="L3" s="19" t="s">
        <v>58</v>
      </c>
      <c r="M3" s="22" t="s">
        <v>59</v>
      </c>
      <c r="N3" s="23" t="s">
        <v>60</v>
      </c>
      <c r="O3" s="24" t="s">
        <v>61</v>
      </c>
      <c r="P3" s="23" t="s">
        <v>62</v>
      </c>
      <c r="Q3" s="23" t="s">
        <v>63</v>
      </c>
      <c r="R3" s="24" t="s">
        <v>64</v>
      </c>
      <c r="S3" s="23" t="s">
        <v>65</v>
      </c>
      <c r="T3" s="23" t="s">
        <v>66</v>
      </c>
      <c r="U3" s="24" t="s">
        <v>67</v>
      </c>
      <c r="V3" s="24" t="s">
        <v>68</v>
      </c>
      <c r="W3" s="23" t="s">
        <v>69</v>
      </c>
      <c r="X3" s="23" t="s">
        <v>70</v>
      </c>
      <c r="Y3" s="25" t="s">
        <v>71</v>
      </c>
      <c r="Z3" s="25" t="s">
        <v>72</v>
      </c>
      <c r="AA3" s="23" t="s">
        <v>73</v>
      </c>
      <c r="AB3" s="25" t="s">
        <v>74</v>
      </c>
    </row>
    <row r="4" customFormat="false" ht="18" hidden="false" customHeight="true" outlineLevel="0" collapsed="false">
      <c r="A4" s="26" t="s">
        <v>75</v>
      </c>
      <c r="B4" s="26" t="s">
        <v>76</v>
      </c>
      <c r="C4" s="26" t="s">
        <v>77</v>
      </c>
      <c r="D4" s="27" t="s">
        <v>78</v>
      </c>
      <c r="E4" s="26" t="s">
        <v>79</v>
      </c>
      <c r="F4" s="26" t="s">
        <v>80</v>
      </c>
      <c r="G4" s="26" t="s">
        <v>81</v>
      </c>
      <c r="H4" s="27" t="s">
        <v>82</v>
      </c>
      <c r="I4" s="26" t="s">
        <v>83</v>
      </c>
      <c r="J4" s="26" t="s">
        <v>84</v>
      </c>
      <c r="K4" s="27" t="s">
        <v>85</v>
      </c>
      <c r="L4" s="26" t="s">
        <v>86</v>
      </c>
      <c r="M4" s="27" t="s">
        <v>87</v>
      </c>
    </row>
    <row r="5" customFormat="false" ht="51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9"/>
      <c r="J5" s="29"/>
      <c r="K5" s="29"/>
      <c r="L5" s="28"/>
      <c r="M5" s="30"/>
      <c r="N5" s="31" t="str">
        <f aca="false">IFERROR(ifs(B5="🏢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fa-home</v>
      </c>
      <c r="O5" s="31" t="str">
        <f aca="false">IF(D5&lt;&gt;"",D5,"")</f>
        <v/>
      </c>
      <c r="P5" s="31" t="str">
        <f aca="false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/>
      </c>
      <c r="Q5" s="31" t="str">
        <f aca="false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/>
      </c>
      <c r="R5" s="31" t="str">
        <f aca="false">IF(D5&lt;&gt;"","📍 "&amp;IF(E5&lt;&gt;"",E5&amp;"房","")&amp;IF(F5&lt;&gt;"",F5&amp;"卫 ","")&amp;IF(G5&lt;&gt;"",G5&amp;" sqft","")&amp;IF(AND(OR(E5&lt;&gt;"",G5&lt;&gt;""),H5&lt;&gt;"")," · ","")&amp;IF(H5&lt;&gt;"",H5,""),"")</f>
        <v/>
      </c>
      <c r="S5" s="31" t="str">
        <f aca="false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" s="31" t="str">
        <f aca="false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" s="32" t="str">
        <f aca="false">IF(OR(I5&lt;&gt;"",J5&lt;&gt;"",K5&lt;&gt;""),"🔒 "&amp;IF(I5&lt;&gt;"",I5,"")&amp;IF(AND(I5&lt;&gt;"",J5&lt;&gt;"")," · ","")&amp;IF(J5&lt;&gt;"",J5,"")&amp;IF(AND(OR(I5&lt;&gt;"",J5&lt;&gt;""),K5&lt;&gt;"")," · ","")&amp;IF(K5&lt;&gt;"",K5,""),"")</f>
        <v/>
      </c>
      <c r="V5" s="31" t="str">
        <f aca="false">IF(L5&lt;&gt;"","💰 售价 RM "&amp;TEXT(L5,"#,##0"),"")</f>
        <v/>
      </c>
      <c r="W5" s="31" t="str">
        <f aca="false">IF(L5&lt;&gt;"","💰 Selling Price RM "&amp;TEXT(L5,"#,##0"),"")</f>
        <v/>
      </c>
      <c r="X5" s="31" t="str">
        <f aca="false">IF(L5&lt;&gt;"","💰 Harga Jualan RM "&amp;TEXT(L5,"#,##0"),"")</f>
        <v/>
      </c>
      <c r="Y5" s="33" t="str">
        <f aca="false">IF(D5&lt;&gt;"","您好！我想咨询购买：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售价 RM "&amp;TEXT(L5,"#,##0")&amp;"
","")&amp;"
请问还有空档吗？谢谢！","")</f>
        <v/>
      </c>
      <c r="Z5" s="33" t="str">
        <f aca="false">IF(D5&lt;&gt;"","Hi! I'd like to make a purchase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Selling Price RM "&amp;TEXT(L5,"#,##0")&amp;"
","")&amp;"
Is this still available? Thank you!","")</f>
        <v/>
      </c>
      <c r="AA5" s="31"/>
      <c r="AB5" s="33" t="str">
        <f aca="false">IF(D5&lt;&gt;"","Helo! Saya ingin membuat pertanyaan pembelian: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Harga Jualan RM "&amp;TEXT(L5,"#,##0")&amp;"
","")&amp;"
Adakah masih tersedia? Terima kasih!","")</f>
        <v/>
      </c>
    </row>
    <row r="6" customFormat="false" ht="51.75" hidden="false" customHeight="true" outlineLevel="0" collapsed="false">
      <c r="A6" s="28"/>
      <c r="B6" s="28"/>
      <c r="C6" s="28"/>
      <c r="D6" s="28"/>
      <c r="E6" s="28"/>
      <c r="F6" s="28"/>
      <c r="G6" s="28"/>
      <c r="H6" s="28"/>
      <c r="I6" s="29"/>
      <c r="J6" s="29"/>
      <c r="K6" s="29"/>
      <c r="L6" s="28"/>
      <c r="M6" s="30"/>
      <c r="N6" s="31" t="str">
        <f aca="false">IFERROR(ifs(B6="🏢 Condo 公寓","fa-building",B6="🏠 Apartment 单位","fa-home",B6="🌿 即租即住","fa-home",B6="🌿 近国际学校","fa-school",B6="📌 商业旺铺","fa-store",B6="🌟 海景豪宅","fa-water-ladder",B6="📈 投资优选","fa-chart-line",B6="🏞️ 花园住宅","fa-tree",B6="🌟 2026全新地标","fa-drafting-compass",B6="📈 海外投资优选","fa-globe",B6="🌆 核心地段","fa-city",B6="🔥 限时优惠","fa-fire",B6="✅ 永久产权","fa-certificate",B6="🏅 高回报","fa-medal",B6="🏖️ 度假胜地","fa-umbrella-beach",B6="🏫 学区优选","fa-graduation-cap",B6="🛣️ 交通便利","fa-road",B6="🔑 即买即住","fa-key"),"fa-home")</f>
        <v>fa-home</v>
      </c>
      <c r="O6" s="31" t="str">
        <f aca="false">IF(D6&lt;&gt;"",D6,"")</f>
        <v/>
      </c>
      <c r="P6" s="31" t="str">
        <f aca="false">IF(D6&lt;&gt;"",SUBSTITUTE(SUBSTITUTE(SUBSTITUTE(SUBSTITUTE(SUBSTITUTE(SUBSTITUTE(SUBSTITUTE(SUBSTITUTE(SUBSTITUTE(SUBSTITUTE(D6,"亚庇","Kota Kinabalu"),"公寓","Condo"),"排屋","Terrace"),"别墅","Villa"),"店铺","Shop"),"新山","Johor Bahru"),"市中心","City Centre"),"高级","Premium"),"单位","Unit"),"住宅","Residence"),"")</f>
        <v/>
      </c>
      <c r="Q6" s="31" t="str">
        <f aca="false">IF(D6&lt;&gt;"",SUBSTITUTE(SUBSTITUTE(SUBSTITUTE(SUBSTITUTE(SUBSTITUTE(SUBSTITUTE(SUBSTITUTE(SUBSTITUTE(SUBSTITUTE(SUBSTITUTE(D6,"亚庇","Kota Kinabalu"),"公寓","Kondominium"),"排屋","Rumah Teres"),"别墅","Vila"),"店铺","Kedai"),"新山","Johor Bahru"),"市中心","Pusat Bandar"),"高级","Premium"),"单位","Unit"),"住宅","Kediaman"),"")</f>
        <v/>
      </c>
      <c r="R6" s="31" t="str">
        <f aca="false">IF(D6&lt;&gt;"","📍 "&amp;IF(E6&lt;&gt;"",E6&amp;"房","")&amp;IF(F6&lt;&gt;"",F6&amp;"卫 ","")&amp;IF(G6&lt;&gt;"",G6&amp;" sqft","")&amp;IF(AND(OR(E6&lt;&gt;"",G6&lt;&gt;""),H6&lt;&gt;"")," · ","")&amp;IF(H6&lt;&gt;"",H6,""),"")</f>
        <v/>
      </c>
      <c r="S6" s="31" t="str">
        <f aca="false">IF(D6&lt;&gt;"","📍 "&amp;IF(E6&lt;&gt;"",E6&amp;"BR ","")&amp;IF(F6&lt;&gt;"",F6&amp;"BA ","")&amp;IF(G6&lt;&gt;"",G6&amp;" sqft","")&amp;IF(AND(OR(E6&lt;&gt;"",G6&lt;&gt;""),H6&lt;&gt;"")," · ","")&amp;IF(H6&lt;&gt;"",SUBSTITUTE(SUBSTITUTE(SUBSTITUTE(SUBSTITUTE(SUBSTITUTE(SUBSTITUTE(SUBSTITUTE(SUBSTITUTE(SUBSTITUTE(SUBSTITUTE(H6,"游泳池","Swimming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6" s="31" t="str">
        <f aca="false">IF(D6&lt;&gt;"","📍 "&amp;IF(E6&lt;&gt;"",E6&amp;"Bilik ","")&amp;IF(F6&lt;&gt;"",F6&amp;"Bilik Air ","")&amp;IF(G6&lt;&gt;"",G6&amp;" sqft","")&amp;IF(AND(OR(E6&lt;&gt;"",G6&lt;&gt;""),H6&lt;&gt;"")," · ","")&amp;IF(H6&lt;&gt;"",SUBSTITUTE(SUBSTITUTE(SUBSTITUTE(SUBSTITUTE(SUBSTITUTE(SUBSTITUTE(SUBSTITUTE(SUBSTITUTE(SUBSTITUTE(SUBSTITUTE(H6,"游泳池","Kolam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6" s="32" t="str">
        <f aca="false">IF(OR(I6&lt;&gt;"",J6&lt;&gt;"",K6&lt;&gt;""),"🔒 "&amp;IF(I6&lt;&gt;"",I6,"")&amp;IF(AND(I6&lt;&gt;"",J6&lt;&gt;"")," · ","")&amp;IF(J6&lt;&gt;"",J6,"")&amp;IF(AND(OR(I6&lt;&gt;"",J6&lt;&gt;""),K6&lt;&gt;"")," · ","")&amp;IF(K6&lt;&gt;"",K6,""),"")</f>
        <v/>
      </c>
      <c r="V6" s="31" t="str">
        <f aca="false">IF(L6&lt;&gt;"","💰 售价 RM "&amp;TEXT(L6,"#,##0"),"")</f>
        <v/>
      </c>
      <c r="W6" s="31" t="str">
        <f aca="false">IF(L6&lt;&gt;"","💰 Selling Price RM "&amp;TEXT(L6,"#,##0"),"")</f>
        <v/>
      </c>
      <c r="X6" s="31" t="str">
        <f aca="false">IF(L6&lt;&gt;"","💰 Harga Jualan RM "&amp;TEXT(L6,"#,##0"),"")</f>
        <v/>
      </c>
      <c r="Y6" s="33" t="str">
        <f aca="false">IF(D6&lt;&gt;"","您好！我想咨询购买：
🏠 "&amp;D6&amp;"
"&amp;IF(E6&lt;&gt;"","🛏 "&amp;E6&amp;"房"&amp;IF(F6&lt;&gt;""," "&amp;F6&amp;"卫","")&amp;"
","")&amp;IF(G6&lt;&gt;"","📐 "&amp;G6&amp;" sqft
","")&amp;IF(H6&lt;&gt;"","🏊 "&amp;H6&amp;"
","")&amp;IF(U6&lt;&gt;"",U6&amp;"
","")&amp;IF(L6&lt;&gt;"","💰 售价 RM "&amp;TEXT(L6,"#,##0")&amp;"
","")&amp;"
请问还有空档吗？谢谢！","")</f>
        <v/>
      </c>
      <c r="Z6" s="33" t="str">
        <f aca="false">IF(D6&lt;&gt;"","Hi! I'd like to make a purchase enquiry:
🏠 "&amp;P6&amp;"
"&amp;IF(E6&lt;&gt;"","🛏 "&amp;E6&amp;"BR"&amp;IF(F6&lt;&gt;""," "&amp;F6&amp;"BA","")&amp;"
","")&amp;IF(G6&lt;&gt;"","📐 "&amp;G6&amp;" sqft
","")&amp;IF(H6&lt;&gt;"","🏊 "&amp;SUBSTITUTE(SUBSTITUTE(SUBSTITUTE(SUBSTITUTE(SUBSTITUTE(SUBSTITUTE(SUBSTITUTE(SUBSTITUTE(SUBSTITUTE(SUBSTITUTE(H6,"游泳池","Swimming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","")&amp;IF(L6&lt;&gt;"","💰 Selling Price RM "&amp;TEXT(L6,"#,##0")&amp;"
","")&amp;"
Is this still available? Thank you!","")</f>
        <v/>
      </c>
      <c r="AA6" s="31"/>
      <c r="AB6" s="33" t="str">
        <f aca="false">IF(D6&lt;&gt;"","Helo! Saya ingin membuat pertanyaan pembelian:
🏠 "&amp;Q6&amp;"
"&amp;IF(E6&lt;&gt;"","🛏 "&amp;E6&amp;"Bilik"&amp;IF(F6&lt;&gt;""," "&amp;F6&amp;"Bilik Air","")&amp;"
","")&amp;IF(G6&lt;&gt;"","📐 "&amp;G6&amp;" sqft
","")&amp;IF(H6&lt;&gt;"","🏊 "&amp;SUBSTITUTE(SUBSTITUTE(SUBSTITUTE(SUBSTITUTE(SUBSTITUTE(SUBSTITUTE(SUBSTITUTE(SUBSTITUTE(SUBSTITUTE(SUBSTITUTE(H6,"游泳池","Kolam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","")&amp;IF(L6&lt;&gt;"","💰 Harga Jualan RM "&amp;TEXT(L6,"#,##0")&amp;"
","")&amp;"
Adakah masih tersedia? Terima kasih!","")</f>
        <v/>
      </c>
    </row>
    <row r="7" customFormat="false" ht="51.7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9"/>
      <c r="J7" s="29"/>
      <c r="K7" s="29"/>
      <c r="L7" s="28"/>
      <c r="M7" s="30"/>
      <c r="N7" s="31" t="str">
        <f aca="false">IFERROR(ifs(B7="🏢 Condo 公寓","fa-building",B7="🏠 Apartment 单位","fa-home",B7="🌿 即租即住","fa-home",B7="🌿 近国际学校","fa-school",B7="📌 商业旺铺","fa-store",B7="🌟 海景豪宅","fa-water-ladder",B7="📈 投资优选","fa-chart-line",B7="🏞️ 花园住宅","fa-tree",B7="🌟 2026全新地标","fa-drafting-compass",B7="📈 海外投资优选","fa-globe",B7="🌆 核心地段","fa-city",B7="🔥 限时优惠","fa-fire",B7="✅ 永久产权","fa-certificate",B7="🏅 高回报","fa-medal",B7="🏖️ 度假胜地","fa-umbrella-beach",B7="🏫 学区优选","fa-graduation-cap",B7="🛣️ 交通便利","fa-road",B7="🔑 即买即住","fa-key"),"fa-home")</f>
        <v>fa-home</v>
      </c>
      <c r="O7" s="31" t="str">
        <f aca="false">IF(D7&lt;&gt;"",D7,"")</f>
        <v/>
      </c>
      <c r="P7" s="31" t="str">
        <f aca="false">IF(D7&lt;&gt;"",SUBSTITUTE(SUBSTITUTE(SUBSTITUTE(SUBSTITUTE(SUBSTITUTE(SUBSTITUTE(SUBSTITUTE(SUBSTITUTE(SUBSTITUTE(SUBSTITUTE(D7,"亚庇","Kota Kinabalu"),"公寓","Condo"),"排屋","Terrace"),"别墅","Villa"),"店铺","Shop"),"新山","Johor Bahru"),"市中心","City Centre"),"高级","Premium"),"单位","Unit"),"住宅","Residence"),"")</f>
        <v/>
      </c>
      <c r="Q7" s="31" t="str">
        <f aca="false">IF(D7&lt;&gt;"",SUBSTITUTE(SUBSTITUTE(SUBSTITUTE(SUBSTITUTE(SUBSTITUTE(SUBSTITUTE(SUBSTITUTE(SUBSTITUTE(SUBSTITUTE(SUBSTITUTE(D7,"亚庇","Kota Kinabalu"),"公寓","Kondominium"),"排屋","Rumah Teres"),"别墅","Vila"),"店铺","Kedai"),"新山","Johor Bahru"),"市中心","Pusat Bandar"),"高级","Premium"),"单位","Unit"),"住宅","Kediaman"),"")</f>
        <v/>
      </c>
      <c r="R7" s="31" t="str">
        <f aca="false">IF(D7&lt;&gt;"","📍 "&amp;IF(E7&lt;&gt;"",E7&amp;"房","")&amp;IF(F7&lt;&gt;"",F7&amp;"卫 ","")&amp;IF(G7&lt;&gt;"",G7&amp;" sqft","")&amp;IF(AND(OR(E7&lt;&gt;"",G7&lt;&gt;""),H7&lt;&gt;"")," · ","")&amp;IF(H7&lt;&gt;"",H7,""),"")</f>
        <v/>
      </c>
      <c r="S7" s="31" t="str">
        <f aca="false">IF(D7&lt;&gt;"","📍 "&amp;IF(E7&lt;&gt;"",E7&amp;"BR ","")&amp;IF(F7&lt;&gt;"",F7&amp;"BA ","")&amp;IF(G7&lt;&gt;"",G7&amp;" sqft","")&amp;IF(AND(OR(E7&lt;&gt;"",G7&lt;&gt;""),H7&lt;&gt;"")," · ","")&amp;IF(H7&lt;&gt;"",SUBSTITUTE(SUBSTITUTE(SUBSTITUTE(SUBSTITUTE(SUBSTITUTE(SUBSTITUTE(SUBSTITUTE(SUBSTITUTE(SUBSTITUTE(SUBSTITUTE(H7,"游泳池","Swimming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7" s="31" t="str">
        <f aca="false">IF(D7&lt;&gt;"","📍 "&amp;IF(E7&lt;&gt;"",E7&amp;"Bilik ","")&amp;IF(F7&lt;&gt;"",F7&amp;"Bilik Air ","")&amp;IF(G7&lt;&gt;"",G7&amp;" sqft","")&amp;IF(AND(OR(E7&lt;&gt;"",G7&lt;&gt;""),H7&lt;&gt;"")," · ","")&amp;IF(H7&lt;&gt;"",SUBSTITUTE(SUBSTITUTE(SUBSTITUTE(SUBSTITUTE(SUBSTITUTE(SUBSTITUTE(SUBSTITUTE(SUBSTITUTE(SUBSTITUTE(SUBSTITUTE(H7,"游泳池","Kolam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7" s="32" t="str">
        <f aca="false">IF(OR(I7&lt;&gt;"",J7&lt;&gt;"",K7&lt;&gt;""),"🔒 "&amp;IF(I7&lt;&gt;"",I7,"")&amp;IF(AND(I7&lt;&gt;"",J7&lt;&gt;"")," · ","")&amp;IF(J7&lt;&gt;"",J7,"")&amp;IF(AND(OR(I7&lt;&gt;"",J7&lt;&gt;""),K7&lt;&gt;"")," · ","")&amp;IF(K7&lt;&gt;"",K7,""),"")</f>
        <v/>
      </c>
      <c r="V7" s="31" t="str">
        <f aca="false">IF(L7&lt;&gt;"","💰 售价 RM "&amp;TEXT(L7,"#,##0"),"")</f>
        <v/>
      </c>
      <c r="W7" s="31" t="str">
        <f aca="false">IF(L7&lt;&gt;"","💰 Selling Price RM "&amp;TEXT(L7,"#,##0"),"")</f>
        <v/>
      </c>
      <c r="X7" s="31" t="str">
        <f aca="false">IF(L7&lt;&gt;"","💰 Harga Jualan RM "&amp;TEXT(L7,"#,##0"),"")</f>
        <v/>
      </c>
      <c r="Y7" s="33" t="str">
        <f aca="false">IF(D7&lt;&gt;"","您好！我想咨询购买：
🏠 "&amp;D7&amp;"
"&amp;IF(E7&lt;&gt;"","🛏 "&amp;E7&amp;"房"&amp;IF(F7&lt;&gt;""," "&amp;F7&amp;"卫","")&amp;"
","")&amp;IF(G7&lt;&gt;"","📐 "&amp;G7&amp;" sqft
","")&amp;IF(H7&lt;&gt;"","🏊 "&amp;H7&amp;"
","")&amp;IF(U7&lt;&gt;"",U7&amp;"
","")&amp;IF(L7&lt;&gt;"","💰 售价 RM "&amp;TEXT(L7,"#,##0")&amp;"
","")&amp;"
请问还有空档吗？谢谢！","")</f>
        <v/>
      </c>
      <c r="Z7" s="33" t="str">
        <f aca="false">IF(D7&lt;&gt;"","Hi! I'd like to make a purchase enquiry:
🏠 "&amp;P7&amp;"
"&amp;IF(E7&lt;&gt;"","🛏 "&amp;E7&amp;"BR"&amp;IF(F7&lt;&gt;""," "&amp;F7&amp;"BA","")&amp;"
","")&amp;IF(G7&lt;&gt;"","📐 "&amp;G7&amp;" sqft
","")&amp;IF(H7&lt;&gt;"","🏊 "&amp;SUBSTITUTE(SUBSTITUTE(SUBSTITUTE(SUBSTITUTE(SUBSTITUTE(SUBSTITUTE(SUBSTITUTE(SUBSTITUTE(SUBSTITUTE(SUBSTITUTE(H7,"游泳池","Swimming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","")&amp;IF(L7&lt;&gt;"","💰 Selling Price RM "&amp;TEXT(L7,"#,##0")&amp;"
","")&amp;"
Is this still available? Thank you!","")</f>
        <v/>
      </c>
      <c r="AA7" s="31"/>
      <c r="AB7" s="33" t="str">
        <f aca="false">IF(D7&lt;&gt;"","Helo! Saya ingin membuat pertanyaan pembelian:
🏠 "&amp;Q7&amp;"
"&amp;IF(E7&lt;&gt;"","🛏 "&amp;E7&amp;"Bilik"&amp;IF(F7&lt;&gt;""," "&amp;F7&amp;"Bilik Air","")&amp;"
","")&amp;IF(G7&lt;&gt;"","📐 "&amp;G7&amp;" sqft
","")&amp;IF(H7&lt;&gt;"","🏊 "&amp;SUBSTITUTE(SUBSTITUTE(SUBSTITUTE(SUBSTITUTE(SUBSTITUTE(SUBSTITUTE(SUBSTITUTE(SUBSTITUTE(SUBSTITUTE(SUBSTITUTE(H7,"游泳池","Kolam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","")&amp;IF(L7&lt;&gt;"","💰 Harga Jualan RM "&amp;TEXT(L7,"#,##0")&amp;"
","")&amp;"
Adakah masih tersedia? Terima kasih!","")</f>
        <v/>
      </c>
    </row>
    <row r="8" customFormat="false" ht="51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9"/>
      <c r="J8" s="29"/>
      <c r="K8" s="29"/>
      <c r="L8" s="28"/>
      <c r="M8" s="30"/>
      <c r="N8" s="31" t="str">
        <f aca="false">IFERROR(ifs(B8="🏢 Condo 公寓","fa-building",B8="🏠 Apartment 单位","fa-home",B8="🌿 即租即住","fa-home",B8="🌿 近国际学校","fa-school",B8="📌 商业旺铺","fa-store",B8="🌟 海景豪宅","fa-water-ladder",B8="📈 投资优选","fa-chart-line",B8="🏞️ 花园住宅","fa-tree",B8="🌟 2026全新地标","fa-drafting-compass",B8="📈 海外投资优选","fa-globe",B8="🌆 核心地段","fa-city",B8="🔥 限时优惠","fa-fire",B8="✅ 永久产权","fa-certificate",B8="🏅 高回报","fa-medal",B8="🏖️ 度假胜地","fa-umbrella-beach",B8="🏫 学区优选","fa-graduation-cap",B8="🛣️ 交通便利","fa-road",B8="🔑 即买即住","fa-key"),"fa-home")</f>
        <v>fa-home</v>
      </c>
      <c r="O8" s="31" t="str">
        <f aca="false">IF(D8&lt;&gt;"",D8,"")</f>
        <v/>
      </c>
      <c r="P8" s="31" t="str">
        <f aca="false">IF(D8&lt;&gt;"",SUBSTITUTE(SUBSTITUTE(SUBSTITUTE(SUBSTITUTE(SUBSTITUTE(SUBSTITUTE(SUBSTITUTE(SUBSTITUTE(SUBSTITUTE(SUBSTITUTE(D8,"亚庇","Kota Kinabalu"),"公寓","Condo"),"排屋","Terrace"),"别墅","Villa"),"店铺","Shop"),"新山","Johor Bahru"),"市中心","City Centre"),"高级","Premium"),"单位","Unit"),"住宅","Residence"),"")</f>
        <v/>
      </c>
      <c r="Q8" s="31" t="str">
        <f aca="false">IF(D8&lt;&gt;"",SUBSTITUTE(SUBSTITUTE(SUBSTITUTE(SUBSTITUTE(SUBSTITUTE(SUBSTITUTE(SUBSTITUTE(SUBSTITUTE(SUBSTITUTE(SUBSTITUTE(D8,"亚庇","Kota Kinabalu"),"公寓","Kondominium"),"排屋","Rumah Teres"),"别墅","Vila"),"店铺","Kedai"),"新山","Johor Bahru"),"市中心","Pusat Bandar"),"高级","Premium"),"单位","Unit"),"住宅","Kediaman"),"")</f>
        <v/>
      </c>
      <c r="R8" s="31" t="str">
        <f aca="false">IF(D8&lt;&gt;"","📍 "&amp;IF(E8&lt;&gt;"",E8&amp;"房","")&amp;IF(F8&lt;&gt;"",F8&amp;"卫 ","")&amp;IF(G8&lt;&gt;"",G8&amp;" sqft","")&amp;IF(AND(OR(E8&lt;&gt;"",G8&lt;&gt;""),H8&lt;&gt;"")," · ","")&amp;IF(H8&lt;&gt;"",H8,""),"")</f>
        <v/>
      </c>
      <c r="S8" s="31" t="str">
        <f aca="false">IF(D8&lt;&gt;"","📍 "&amp;IF(E8&lt;&gt;"",E8&amp;"BR ","")&amp;IF(F8&lt;&gt;"",F8&amp;"BA ","")&amp;IF(G8&lt;&gt;"",G8&amp;" sqft","")&amp;IF(AND(OR(E8&lt;&gt;"",G8&lt;&gt;""),H8&lt;&gt;"")," · ","")&amp;IF(H8&lt;&gt;"",SUBSTITUTE(SUBSTITUTE(SUBSTITUTE(SUBSTITUTE(SUBSTITUTE(SUBSTITUTE(SUBSTITUTE(SUBSTITUTE(SUBSTITUTE(SUBSTITUTE(H8,"游泳池","Swimming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8" s="31" t="str">
        <f aca="false">IF(D8&lt;&gt;"","📍 "&amp;IF(E8&lt;&gt;"",E8&amp;"Bilik ","")&amp;IF(F8&lt;&gt;"",F8&amp;"Bilik Air ","")&amp;IF(G8&lt;&gt;"",G8&amp;" sqft","")&amp;IF(AND(OR(E8&lt;&gt;"",G8&lt;&gt;""),H8&lt;&gt;"")," · ","")&amp;IF(H8&lt;&gt;"",SUBSTITUTE(SUBSTITUTE(SUBSTITUTE(SUBSTITUTE(SUBSTITUTE(SUBSTITUTE(SUBSTITUTE(SUBSTITUTE(SUBSTITUTE(SUBSTITUTE(H8,"游泳池","Kolam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8" s="32" t="str">
        <f aca="false">IF(OR(I8&lt;&gt;"",J8&lt;&gt;"",K8&lt;&gt;""),"🔒 "&amp;IF(I8&lt;&gt;"",I8,"")&amp;IF(AND(I8&lt;&gt;"",J8&lt;&gt;"")," · ","")&amp;IF(J8&lt;&gt;"",J8,"")&amp;IF(AND(OR(I8&lt;&gt;"",J8&lt;&gt;""),K8&lt;&gt;"")," · ","")&amp;IF(K8&lt;&gt;"",K8,""),"")</f>
        <v/>
      </c>
      <c r="V8" s="31" t="str">
        <f aca="false">IF(L8&lt;&gt;"","💰 售价 RM "&amp;TEXT(L8,"#,##0"),"")</f>
        <v/>
      </c>
      <c r="W8" s="31" t="str">
        <f aca="false">IF(L8&lt;&gt;"","💰 Selling Price RM "&amp;TEXT(L8,"#,##0"),"")</f>
        <v/>
      </c>
      <c r="X8" s="31" t="str">
        <f aca="false">IF(L8&lt;&gt;"","💰 Harga Jualan RM "&amp;TEXT(L8,"#,##0"),"")</f>
        <v/>
      </c>
      <c r="Y8" s="33" t="str">
        <f aca="false">IF(D8&lt;&gt;"","您好！我想咨询购买：
🏠 "&amp;D8&amp;"
"&amp;IF(E8&lt;&gt;"","🛏 "&amp;E8&amp;"房"&amp;IF(F8&lt;&gt;""," "&amp;F8&amp;"卫","")&amp;"
","")&amp;IF(G8&lt;&gt;"","📐 "&amp;G8&amp;" sqft
","")&amp;IF(H8&lt;&gt;"","🏊 "&amp;H8&amp;"
","")&amp;IF(U8&lt;&gt;"",U8&amp;"
","")&amp;IF(L8&lt;&gt;"","💰 售价 RM "&amp;TEXT(L8,"#,##0")&amp;"
","")&amp;"
请问还有空档吗？谢谢！","")</f>
        <v/>
      </c>
      <c r="Z8" s="33" t="str">
        <f aca="false">IF(D8&lt;&gt;"","Hi! I'd like to make a purchase enquiry:
🏠 "&amp;P8&amp;"
"&amp;IF(E8&lt;&gt;"","🛏 "&amp;E8&amp;"BR"&amp;IF(F8&lt;&gt;""," "&amp;F8&amp;"BA","")&amp;"
","")&amp;IF(G8&lt;&gt;"","📐 "&amp;G8&amp;" sqft
","")&amp;IF(H8&lt;&gt;"","🏊 "&amp;SUBSTITUTE(SUBSTITUTE(SUBSTITUTE(SUBSTITUTE(SUBSTITUTE(SUBSTITUTE(SUBSTITUTE(SUBSTITUTE(SUBSTITUTE(SUBSTITUTE(H8,"游泳池","Swimming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","")&amp;IF(L8&lt;&gt;"","💰 Selling Price RM "&amp;TEXT(L8,"#,##0")&amp;"
","")&amp;"
Is this still available? Thank you!","")</f>
        <v/>
      </c>
      <c r="AA8" s="31"/>
      <c r="AB8" s="33" t="str">
        <f aca="false">IF(D8&lt;&gt;"","Helo! Saya ingin membuat pertanyaan pembelian:
🏠 "&amp;Q8&amp;"
"&amp;IF(E8&lt;&gt;"","🛏 "&amp;E8&amp;"Bilik"&amp;IF(F8&lt;&gt;""," "&amp;F8&amp;"Bilik Air","")&amp;"
","")&amp;IF(G8&lt;&gt;"","📐 "&amp;G8&amp;" sqft
","")&amp;IF(H8&lt;&gt;"","🏊 "&amp;SUBSTITUTE(SUBSTITUTE(SUBSTITUTE(SUBSTITUTE(SUBSTITUTE(SUBSTITUTE(SUBSTITUTE(SUBSTITUTE(SUBSTITUTE(SUBSTITUTE(H8,"游泳池","Kolam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","")&amp;IF(L8&lt;&gt;"","💰 Harga Jualan RM "&amp;TEXT(L8,"#,##0")&amp;"
","")&amp;"
Adakah masih tersedia? Terima kasih!","")</f>
        <v/>
      </c>
    </row>
    <row r="9" customFormat="false" ht="51.7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8"/>
      <c r="M9" s="30"/>
      <c r="N9" s="31" t="str">
        <f aca="false">IFERROR(ifs(B9="🏢 Condo 公寓","fa-building",B9="🏠 Apartment 单位","fa-home",B9="🌿 即租即住","fa-home",B9="🌿 近国际学校","fa-school",B9="📌 商业旺铺","fa-store",B9="🌟 海景豪宅","fa-water-ladder",B9="📈 投资优选","fa-chart-line",B9="🏞️ 花园住宅","fa-tree",B9="🌟 2026全新地标","fa-drafting-compass",B9="📈 海外投资优选","fa-globe",B9="🌆 核心地段","fa-city",B9="🔥 限时优惠","fa-fire",B9="✅ 永久产权","fa-certificate",B9="🏅 高回报","fa-medal",B9="🏖️ 度假胜地","fa-umbrella-beach",B9="🏫 学区优选","fa-graduation-cap",B9="🛣️ 交通便利","fa-road",B9="🔑 即买即住","fa-key"),"fa-home")</f>
        <v>fa-home</v>
      </c>
      <c r="O9" s="31" t="str">
        <f aca="false">IF(D9&lt;&gt;"",D9,"")</f>
        <v/>
      </c>
      <c r="P9" s="31" t="str">
        <f aca="false">IF(D9&lt;&gt;"",SUBSTITUTE(SUBSTITUTE(SUBSTITUTE(SUBSTITUTE(SUBSTITUTE(SUBSTITUTE(SUBSTITUTE(SUBSTITUTE(SUBSTITUTE(SUBSTITUTE(D9,"亚庇","Kota Kinabalu"),"公寓","Condo"),"排屋","Terrace"),"别墅","Villa"),"店铺","Shop"),"新山","Johor Bahru"),"市中心","City Centre"),"高级","Premium"),"单位","Unit"),"住宅","Residence"),"")</f>
        <v/>
      </c>
      <c r="Q9" s="31" t="str">
        <f aca="false">IF(D9&lt;&gt;"",SUBSTITUTE(SUBSTITUTE(SUBSTITUTE(SUBSTITUTE(SUBSTITUTE(SUBSTITUTE(SUBSTITUTE(SUBSTITUTE(SUBSTITUTE(SUBSTITUTE(D9,"亚庇","Kota Kinabalu"),"公寓","Kondominium"),"排屋","Rumah Teres"),"别墅","Vila"),"店铺","Kedai"),"新山","Johor Bahru"),"市中心","Pusat Bandar"),"高级","Premium"),"单位","Unit"),"住宅","Kediaman"),"")</f>
        <v/>
      </c>
      <c r="R9" s="31" t="str">
        <f aca="false">IF(D9&lt;&gt;"","📍 "&amp;IF(E9&lt;&gt;"",E9&amp;"房","")&amp;IF(F9&lt;&gt;"",F9&amp;"卫 ","")&amp;IF(G9&lt;&gt;"",G9&amp;" sqft","")&amp;IF(AND(OR(E9&lt;&gt;"",G9&lt;&gt;""),H9&lt;&gt;"")," · ","")&amp;IF(H9&lt;&gt;"",H9,""),"")</f>
        <v/>
      </c>
      <c r="S9" s="31" t="str">
        <f aca="false">IF(D9&lt;&gt;"","📍 "&amp;IF(E9&lt;&gt;"",E9&amp;"BR ","")&amp;IF(F9&lt;&gt;"",F9&amp;"BA ","")&amp;IF(G9&lt;&gt;"",G9&amp;" sqft","")&amp;IF(AND(OR(E9&lt;&gt;"",G9&lt;&gt;""),H9&lt;&gt;"")," · ","")&amp;IF(H9&lt;&gt;"",SUBSTITUTE(SUBSTITUTE(SUBSTITUTE(SUBSTITUTE(SUBSTITUTE(SUBSTITUTE(SUBSTITUTE(SUBSTITUTE(SUBSTITUTE(SUBSTITUTE(H9,"游泳池","Swimming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9" s="31" t="str">
        <f aca="false">IF(D9&lt;&gt;"","📍 "&amp;IF(E9&lt;&gt;"",E9&amp;"Bilik ","")&amp;IF(F9&lt;&gt;"",F9&amp;"Bilik Air ","")&amp;IF(G9&lt;&gt;"",G9&amp;" sqft","")&amp;IF(AND(OR(E9&lt;&gt;"",G9&lt;&gt;""),H9&lt;&gt;"")," · ","")&amp;IF(H9&lt;&gt;"",SUBSTITUTE(SUBSTITUTE(SUBSTITUTE(SUBSTITUTE(SUBSTITUTE(SUBSTITUTE(SUBSTITUTE(SUBSTITUTE(SUBSTITUTE(SUBSTITUTE(H9,"游泳池","Kolam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9" s="32" t="str">
        <f aca="false">IF(OR(I9&lt;&gt;"",J9&lt;&gt;"",K9&lt;&gt;""),"🔒 "&amp;IF(I9&lt;&gt;"",I9,"")&amp;IF(AND(I9&lt;&gt;"",J9&lt;&gt;"")," · ","")&amp;IF(J9&lt;&gt;"",J9,"")&amp;IF(AND(OR(I9&lt;&gt;"",J9&lt;&gt;""),K9&lt;&gt;"")," · ","")&amp;IF(K9&lt;&gt;"",K9,""),"")</f>
        <v/>
      </c>
      <c r="V9" s="31" t="str">
        <f aca="false">IF(L9&lt;&gt;"","💰 售价 RM "&amp;TEXT(L9,"#,##0"),"")</f>
        <v/>
      </c>
      <c r="W9" s="31" t="str">
        <f aca="false">IF(L9&lt;&gt;"","💰 Selling Price RM "&amp;TEXT(L9,"#,##0"),"")</f>
        <v/>
      </c>
      <c r="X9" s="31" t="str">
        <f aca="false">IF(L9&lt;&gt;"","💰 Harga Jualan RM "&amp;TEXT(L9,"#,##0"),"")</f>
        <v/>
      </c>
      <c r="Y9" s="33" t="str">
        <f aca="false">IF(D9&lt;&gt;"","您好！我想咨询购买：
🏠 "&amp;D9&amp;"
"&amp;IF(E9&lt;&gt;"","🛏 "&amp;E9&amp;"房"&amp;IF(F9&lt;&gt;""," "&amp;F9&amp;"卫","")&amp;"
","")&amp;IF(G9&lt;&gt;"","📐 "&amp;G9&amp;" sqft
","")&amp;IF(H9&lt;&gt;"","🏊 "&amp;H9&amp;"
","")&amp;IF(U9&lt;&gt;"",U9&amp;"
","")&amp;IF(L9&lt;&gt;"","💰 售价 RM "&amp;TEXT(L9,"#,##0")&amp;"
","")&amp;"
请问还有空档吗？谢谢！","")</f>
        <v/>
      </c>
      <c r="Z9" s="33" t="str">
        <f aca="false">IF(D9&lt;&gt;"","Hi! I'd like to make a purchase enquiry:
🏠 "&amp;P9&amp;"
"&amp;IF(E9&lt;&gt;"","🛏 "&amp;E9&amp;"BR"&amp;IF(F9&lt;&gt;""," "&amp;F9&amp;"BA","")&amp;"
","")&amp;IF(G9&lt;&gt;"","📐 "&amp;G9&amp;" sqft
","")&amp;IF(H9&lt;&gt;"","🏊 "&amp;SUBSTITUTE(SUBSTITUTE(SUBSTITUTE(SUBSTITUTE(SUBSTITUTE(SUBSTITUTE(SUBSTITUTE(SUBSTITUTE(SUBSTITUTE(SUBSTITUTE(H9,"游泳池","Swimming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","")&amp;IF(L9&lt;&gt;"","💰 Selling Price RM "&amp;TEXT(L9,"#,##0")&amp;"
","")&amp;"
Is this still available? Thank you!","")</f>
        <v/>
      </c>
      <c r="AA9" s="31"/>
      <c r="AB9" s="33" t="str">
        <f aca="false">IF(D9&lt;&gt;"","Helo! Saya ingin membuat pertanyaan pembelian:
🏠 "&amp;Q9&amp;"
"&amp;IF(E9&lt;&gt;"","🛏 "&amp;E9&amp;"Bilik"&amp;IF(F9&lt;&gt;""," "&amp;F9&amp;"Bilik Air","")&amp;"
","")&amp;IF(G9&lt;&gt;"","📐 "&amp;G9&amp;" sqft
","")&amp;IF(H9&lt;&gt;"","🏊 "&amp;SUBSTITUTE(SUBSTITUTE(SUBSTITUTE(SUBSTITUTE(SUBSTITUTE(SUBSTITUTE(SUBSTITUTE(SUBSTITUTE(SUBSTITUTE(SUBSTITUTE(H9,"游泳池","Kolam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","")&amp;IF(L9&lt;&gt;"","💰 Harga Jualan RM "&amp;TEXT(L9,"#,##0")&amp;"
","")&amp;"
Adakah masih tersedia? Terima kasih!","")</f>
        <v/>
      </c>
    </row>
    <row r="10" customFormat="false" ht="5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29"/>
      <c r="L10" s="28"/>
      <c r="M10" s="30"/>
      <c r="N10" s="31" t="str">
        <f aca="false">IFERROR(ifs(B10="🏢 Condo 公寓","fa-building",B10="🏠 Apartment 单位","fa-home",B10="🌿 即租即住","fa-home",B10="🌿 近国际学校","fa-school",B10="📌 商业旺铺","fa-store",B10="🌟 海景豪宅","fa-water-ladder",B10="📈 投资优选","fa-chart-line",B10="🏞️ 花园住宅","fa-tree",B10="🌟 2026全新地标","fa-drafting-compass",B10="📈 海外投资优选","fa-globe",B10="🌆 核心地段","fa-city",B10="🔥 限时优惠","fa-fire",B10="✅ 永久产权","fa-certificate",B10="🏅 高回报","fa-medal",B10="🏖️ 度假胜地","fa-umbrella-beach",B10="🏫 学区优选","fa-graduation-cap",B10="🛣️ 交通便利","fa-road",B10="🔑 即买即住","fa-key"),"fa-home")</f>
        <v>fa-home</v>
      </c>
      <c r="O10" s="31" t="str">
        <f aca="false">IF(D10&lt;&gt;"",D10,"")</f>
        <v/>
      </c>
      <c r="P10" s="31" t="str">
        <f aca="false">IF(D10&lt;&gt;"",SUBSTITUTE(SUBSTITUTE(SUBSTITUTE(SUBSTITUTE(SUBSTITUTE(SUBSTITUTE(SUBSTITUTE(SUBSTITUTE(SUBSTITUTE(SUBSTITUTE(D10,"亚庇","Kota Kinabalu"),"公寓","Condo"),"排屋","Terrace"),"别墅","Villa"),"店铺","Shop"),"新山","Johor Bahru"),"市中心","City Centre"),"高级","Premium"),"单位","Unit"),"住宅","Residence"),"")</f>
        <v/>
      </c>
      <c r="Q10" s="31" t="str">
        <f aca="false">IF(D10&lt;&gt;"",SUBSTITUTE(SUBSTITUTE(SUBSTITUTE(SUBSTITUTE(SUBSTITUTE(SUBSTITUTE(SUBSTITUTE(SUBSTITUTE(SUBSTITUTE(SUBSTITUTE(D10,"亚庇","Kota Kinabalu"),"公寓","Kondominium"),"排屋","Rumah Teres"),"别墅","Vila"),"店铺","Kedai"),"新山","Johor Bahru"),"市中心","Pusat Bandar"),"高级","Premium"),"单位","Unit"),"住宅","Kediaman"),"")</f>
        <v/>
      </c>
      <c r="R10" s="31" t="str">
        <f aca="false">IF(D10&lt;&gt;"","📍 "&amp;IF(E10&lt;&gt;"",E10&amp;"房","")&amp;IF(F10&lt;&gt;"",F10&amp;"卫 ","")&amp;IF(G10&lt;&gt;"",G10&amp;" sqft","")&amp;IF(AND(OR(E10&lt;&gt;"",G10&lt;&gt;""),H10&lt;&gt;"")," · ","")&amp;IF(H10&lt;&gt;"",H10,""),"")</f>
        <v/>
      </c>
      <c r="S10" s="31" t="str">
        <f aca="false">IF(D10&lt;&gt;"","📍 "&amp;IF(E10&lt;&gt;"",E10&amp;"BR ","")&amp;IF(F10&lt;&gt;"",F10&amp;"BA ","")&amp;IF(G10&lt;&gt;"",G10&amp;" sqft","")&amp;IF(AND(OR(E10&lt;&gt;"",G10&lt;&gt;""),H10&lt;&gt;"")," · ","")&amp;IF(H10&lt;&gt;"",SUBSTITUTE(SUBSTITUTE(SUBSTITUTE(SUBSTITUTE(SUBSTITUTE(SUBSTITUTE(SUBSTITUTE(SUBSTITUTE(SUBSTITUTE(SUBSTITUTE(H10,"游泳池","Swimming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0" s="31" t="str">
        <f aca="false">IF(D10&lt;&gt;"","📍 "&amp;IF(E10&lt;&gt;"",E10&amp;"Bilik ","")&amp;IF(F10&lt;&gt;"",F10&amp;"Bilik Air ","")&amp;IF(G10&lt;&gt;"",G10&amp;" sqft","")&amp;IF(AND(OR(E10&lt;&gt;"",G10&lt;&gt;""),H10&lt;&gt;"")," · ","")&amp;IF(H10&lt;&gt;"",SUBSTITUTE(SUBSTITUTE(SUBSTITUTE(SUBSTITUTE(SUBSTITUTE(SUBSTITUTE(SUBSTITUTE(SUBSTITUTE(SUBSTITUTE(SUBSTITUTE(H10,"游泳池","Kolam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0" s="32" t="str">
        <f aca="false">IF(OR(I10&lt;&gt;"",J10&lt;&gt;"",K10&lt;&gt;""),"🔒 "&amp;IF(I10&lt;&gt;"",I10,"")&amp;IF(AND(I10&lt;&gt;"",J10&lt;&gt;"")," · ","")&amp;IF(J10&lt;&gt;"",J10,"")&amp;IF(AND(OR(I10&lt;&gt;"",J10&lt;&gt;""),K10&lt;&gt;"")," · ","")&amp;IF(K10&lt;&gt;"",K10,""),"")</f>
        <v/>
      </c>
      <c r="V10" s="31" t="str">
        <f aca="false">IF(L10&lt;&gt;"","💰 售价 RM "&amp;TEXT(L10,"#,##0"),"")</f>
        <v/>
      </c>
      <c r="W10" s="31" t="str">
        <f aca="false">IF(L10&lt;&gt;"","💰 Selling Price RM "&amp;TEXT(L10,"#,##0"),"")</f>
        <v/>
      </c>
      <c r="X10" s="31" t="str">
        <f aca="false">IF(L10&lt;&gt;"","💰 Harga Jualan RM "&amp;TEXT(L10,"#,##0"),"")</f>
        <v/>
      </c>
      <c r="Y10" s="33" t="str">
        <f aca="false">IF(D10&lt;&gt;"","您好！我想咨询购买：
🏠 "&amp;D10&amp;"
"&amp;IF(E10&lt;&gt;"","🛏 "&amp;E10&amp;"房"&amp;IF(F10&lt;&gt;""," "&amp;F10&amp;"卫","")&amp;"
","")&amp;IF(G10&lt;&gt;"","📐 "&amp;G10&amp;" sqft
","")&amp;IF(H10&lt;&gt;"","🏊 "&amp;H10&amp;"
","")&amp;IF(U10&lt;&gt;"",U10&amp;"
","")&amp;IF(L10&lt;&gt;"","💰 售价 RM "&amp;TEXT(L10,"#,##0")&amp;"
","")&amp;"
请问还有空档吗？谢谢！","")</f>
        <v/>
      </c>
      <c r="Z10" s="33" t="str">
        <f aca="false">IF(D10&lt;&gt;"","Hi! I'd like to make a purchase enquiry:
🏠 "&amp;P10&amp;"
"&amp;IF(E10&lt;&gt;"","🛏 "&amp;E10&amp;"BR"&amp;IF(F10&lt;&gt;""," "&amp;F10&amp;"BA","")&amp;"
","")&amp;IF(G10&lt;&gt;"","📐 "&amp;G10&amp;" sqft
","")&amp;IF(H10&lt;&gt;"","🏊 "&amp;SUBSTITUTE(SUBSTITUTE(SUBSTITUTE(SUBSTITUTE(SUBSTITUTE(SUBSTITUTE(SUBSTITUTE(SUBSTITUTE(SUBSTITUTE(SUBSTITUTE(H10,"游泳池","Swimming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","")&amp;IF(L10&lt;&gt;"","💰 Selling Price RM "&amp;TEXT(L10,"#,##0")&amp;"
","")&amp;"
Is this still available? Thank you!","")</f>
        <v/>
      </c>
      <c r="AA10" s="31"/>
      <c r="AB10" s="33" t="str">
        <f aca="false">IF(D10&lt;&gt;"","Helo! Saya ingin membuat pertanyaan pembelian:
🏠 "&amp;Q10&amp;"
"&amp;IF(E10&lt;&gt;"","🛏 "&amp;E10&amp;"Bilik"&amp;IF(F10&lt;&gt;""," "&amp;F10&amp;"Bilik Air","")&amp;"
","")&amp;IF(G10&lt;&gt;"","📐 "&amp;G10&amp;" sqft
","")&amp;IF(H10&lt;&gt;"","🏊 "&amp;SUBSTITUTE(SUBSTITUTE(SUBSTITUTE(SUBSTITUTE(SUBSTITUTE(SUBSTITUTE(SUBSTITUTE(SUBSTITUTE(SUBSTITUTE(SUBSTITUTE(H10,"游泳池","Kolam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","")&amp;IF(L10&lt;&gt;"","💰 Harga Jualan RM "&amp;TEXT(L10,"#,##0")&amp;"
","")&amp;"
Adakah masih tersedia? Terima kasih!","")</f>
        <v/>
      </c>
    </row>
    <row r="11" customFormat="false" ht="51.7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29"/>
      <c r="L11" s="28"/>
      <c r="M11" s="30"/>
      <c r="N11" s="31" t="str">
        <f aca="false">IFERROR(ifs(B11="🏢 Condo 公寓","fa-building",B11="🏠 Apartment 单位","fa-home",B11="🌿 即租即住","fa-home",B11="🌿 近国际学校","fa-school",B11="📌 商业旺铺","fa-store",B11="🌟 海景豪宅","fa-water-ladder",B11="📈 投资优选","fa-chart-line",B11="🏞️ 花园住宅","fa-tree",B11="🌟 2026全新地标","fa-drafting-compass",B11="📈 海外投资优选","fa-globe",B11="🌆 核心地段","fa-city",B11="🔥 限时优惠","fa-fire",B11="✅ 永久产权","fa-certificate",B11="🏅 高回报","fa-medal",B11="🏖️ 度假胜地","fa-umbrella-beach",B11="🏫 学区优选","fa-graduation-cap",B11="🛣️ 交通便利","fa-road",B11="🔑 即买即住","fa-key"),"fa-home")</f>
        <v>fa-home</v>
      </c>
      <c r="O11" s="31" t="str">
        <f aca="false">IF(D11&lt;&gt;"",D11,"")</f>
        <v/>
      </c>
      <c r="P11" s="31" t="str">
        <f aca="false">IF(D11&lt;&gt;"",SUBSTITUTE(SUBSTITUTE(SUBSTITUTE(SUBSTITUTE(SUBSTITUTE(SUBSTITUTE(SUBSTITUTE(SUBSTITUTE(SUBSTITUTE(SUBSTITUTE(D11,"亚庇","Kota Kinabalu"),"公寓","Condo"),"排屋","Terrace"),"别墅","Villa"),"店铺","Shop"),"新山","Johor Bahru"),"市中心","City Centre"),"高级","Premium"),"单位","Unit"),"住宅","Residence"),"")</f>
        <v/>
      </c>
      <c r="Q11" s="31" t="str">
        <f aca="false">IF(D11&lt;&gt;"",SUBSTITUTE(SUBSTITUTE(SUBSTITUTE(SUBSTITUTE(SUBSTITUTE(SUBSTITUTE(SUBSTITUTE(SUBSTITUTE(SUBSTITUTE(SUBSTITUTE(D11,"亚庇","Kota Kinabalu"),"公寓","Kondominium"),"排屋","Rumah Teres"),"别墅","Vila"),"店铺","Kedai"),"新山","Johor Bahru"),"市中心","Pusat Bandar"),"高级","Premium"),"单位","Unit"),"住宅","Kediaman"),"")</f>
        <v/>
      </c>
      <c r="R11" s="31" t="str">
        <f aca="false">IF(D11&lt;&gt;"","📍 "&amp;IF(E11&lt;&gt;"",E11&amp;"房","")&amp;IF(F11&lt;&gt;"",F11&amp;"卫 ","")&amp;IF(G11&lt;&gt;"",G11&amp;" sqft","")&amp;IF(AND(OR(E11&lt;&gt;"",G11&lt;&gt;""),H11&lt;&gt;"")," · ","")&amp;IF(H11&lt;&gt;"",H11,""),"")</f>
        <v/>
      </c>
      <c r="S11" s="31" t="str">
        <f aca="false">IF(D11&lt;&gt;"","📍 "&amp;IF(E11&lt;&gt;"",E11&amp;"BR ","")&amp;IF(F11&lt;&gt;"",F11&amp;"BA ","")&amp;IF(G11&lt;&gt;"",G11&amp;" sqft","")&amp;IF(AND(OR(E11&lt;&gt;"",G11&lt;&gt;""),H11&lt;&gt;"")," · ","")&amp;IF(H11&lt;&gt;"",SUBSTITUTE(SUBSTITUTE(SUBSTITUTE(SUBSTITUTE(SUBSTITUTE(SUBSTITUTE(SUBSTITUTE(SUBSTITUTE(SUBSTITUTE(SUBSTITUTE(H11,"游泳池","Swimming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1" s="31" t="str">
        <f aca="false">IF(D11&lt;&gt;"","📍 "&amp;IF(E11&lt;&gt;"",E11&amp;"Bilik ","")&amp;IF(F11&lt;&gt;"",F11&amp;"Bilik Air ","")&amp;IF(G11&lt;&gt;"",G11&amp;" sqft","")&amp;IF(AND(OR(E11&lt;&gt;"",G11&lt;&gt;""),H11&lt;&gt;"")," · ","")&amp;IF(H11&lt;&gt;"",SUBSTITUTE(SUBSTITUTE(SUBSTITUTE(SUBSTITUTE(SUBSTITUTE(SUBSTITUTE(SUBSTITUTE(SUBSTITUTE(SUBSTITUTE(SUBSTITUTE(H11,"游泳池","Kolam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1" s="32" t="str">
        <f aca="false">IF(OR(I11&lt;&gt;"",J11&lt;&gt;"",K11&lt;&gt;""),"🔒 "&amp;IF(I11&lt;&gt;"",I11,"")&amp;IF(AND(I11&lt;&gt;"",J11&lt;&gt;"")," · ","")&amp;IF(J11&lt;&gt;"",J11,"")&amp;IF(AND(OR(I11&lt;&gt;"",J11&lt;&gt;""),K11&lt;&gt;"")," · ","")&amp;IF(K11&lt;&gt;"",K11,""),"")</f>
        <v/>
      </c>
      <c r="V11" s="31" t="str">
        <f aca="false">IF(L11&lt;&gt;"","💰 售价 RM "&amp;TEXT(L11,"#,##0"),"")</f>
        <v/>
      </c>
      <c r="W11" s="31" t="str">
        <f aca="false">IF(L11&lt;&gt;"","💰 Selling Price RM "&amp;TEXT(L11,"#,##0"),"")</f>
        <v/>
      </c>
      <c r="X11" s="31" t="str">
        <f aca="false">IF(L11&lt;&gt;"","💰 Harga Jualan RM "&amp;TEXT(L11,"#,##0"),"")</f>
        <v/>
      </c>
      <c r="Y11" s="33" t="str">
        <f aca="false">IF(D11&lt;&gt;"","您好！我想咨询购买：
🏠 "&amp;D11&amp;"
"&amp;IF(E11&lt;&gt;"","🛏 "&amp;E11&amp;"房"&amp;IF(F11&lt;&gt;""," "&amp;F11&amp;"卫","")&amp;"
","")&amp;IF(G11&lt;&gt;"","📐 "&amp;G11&amp;" sqft
","")&amp;IF(H11&lt;&gt;"","🏊 "&amp;H11&amp;"
","")&amp;IF(U11&lt;&gt;"",U11&amp;"
","")&amp;IF(L11&lt;&gt;"","💰 售价 RM "&amp;TEXT(L11,"#,##0")&amp;"
","")&amp;"
请问还有空档吗？谢谢！","")</f>
        <v/>
      </c>
      <c r="Z11" s="33" t="str">
        <f aca="false">IF(D11&lt;&gt;"","Hi! I'd like to make a purchase enquiry:
🏠 "&amp;P11&amp;"
"&amp;IF(E11&lt;&gt;"","🛏 "&amp;E11&amp;"BR"&amp;IF(F11&lt;&gt;""," "&amp;F11&amp;"BA","")&amp;"
","")&amp;IF(G11&lt;&gt;"","📐 "&amp;G11&amp;" sqft
","")&amp;IF(H11&lt;&gt;"","🏊 "&amp;SUBSTITUTE(SUBSTITUTE(SUBSTITUTE(SUBSTITUTE(SUBSTITUTE(SUBSTITUTE(SUBSTITUTE(SUBSTITUTE(SUBSTITUTE(SUBSTITUTE(H11,"游泳池","Swimming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","")&amp;IF(L11&lt;&gt;"","💰 Selling Price RM "&amp;TEXT(L11,"#,##0")&amp;"
","")&amp;"
Is this still available? Thank you!","")</f>
        <v/>
      </c>
      <c r="AA11" s="31"/>
      <c r="AB11" s="33" t="str">
        <f aca="false">IF(D11&lt;&gt;"","Helo! Saya ingin membuat pertanyaan pembelian:
🏠 "&amp;Q11&amp;"
"&amp;IF(E11&lt;&gt;"","🛏 "&amp;E11&amp;"Bilik"&amp;IF(F11&lt;&gt;""," "&amp;F11&amp;"Bilik Air","")&amp;"
","")&amp;IF(G11&lt;&gt;"","📐 "&amp;G11&amp;" sqft
","")&amp;IF(H11&lt;&gt;"","🏊 "&amp;SUBSTITUTE(SUBSTITUTE(SUBSTITUTE(SUBSTITUTE(SUBSTITUTE(SUBSTITUTE(SUBSTITUTE(SUBSTITUTE(SUBSTITUTE(SUBSTITUTE(H11,"游泳池","Kolam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","")&amp;IF(L11&lt;&gt;"","💰 Harga Jualan RM "&amp;TEXT(L11,"#,##0")&amp;"
","")&amp;"
Adakah masih tersedia? Terima kasih!","")</f>
        <v/>
      </c>
    </row>
    <row r="12" customFormat="false" ht="5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29"/>
      <c r="L12" s="28"/>
      <c r="M12" s="30"/>
      <c r="N12" s="31" t="str">
        <f aca="false">IFERROR(ifs(B12="🏢 Condo 公寓","fa-building",B12="🏠 Apartment 单位","fa-home",B12="🌿 即租即住","fa-home",B12="🌿 近国际学校","fa-school",B12="📌 商业旺铺","fa-store",B12="🌟 海景豪宅","fa-water-ladder",B12="📈 投资优选","fa-chart-line",B12="🏞️ 花园住宅","fa-tree",B12="🌟 2026全新地标","fa-drafting-compass",B12="📈 海外投资优选","fa-globe",B12="🌆 核心地段","fa-city",B12="🔥 限时优惠","fa-fire",B12="✅ 永久产权","fa-certificate",B12="🏅 高回报","fa-medal",B12="🏖️ 度假胜地","fa-umbrella-beach",B12="🏫 学区优选","fa-graduation-cap",B12="🛣️ 交通便利","fa-road",B12="🔑 即买即住","fa-key"),"fa-home")</f>
        <v>fa-home</v>
      </c>
      <c r="O12" s="31" t="str">
        <f aca="false">IF(D12&lt;&gt;"",D12,"")</f>
        <v/>
      </c>
      <c r="P12" s="31" t="str">
        <f aca="false">IF(D12&lt;&gt;"",SUBSTITUTE(SUBSTITUTE(SUBSTITUTE(SUBSTITUTE(SUBSTITUTE(SUBSTITUTE(SUBSTITUTE(SUBSTITUTE(SUBSTITUTE(SUBSTITUTE(D12,"亚庇","Kota Kinabalu"),"公寓","Condo"),"排屋","Terrace"),"别墅","Villa"),"店铺","Shop"),"新山","Johor Bahru"),"市中心","City Centre"),"高级","Premium"),"单位","Unit"),"住宅","Residence"),"")</f>
        <v/>
      </c>
      <c r="Q12" s="31" t="str">
        <f aca="false">IF(D12&lt;&gt;"",SUBSTITUTE(SUBSTITUTE(SUBSTITUTE(SUBSTITUTE(SUBSTITUTE(SUBSTITUTE(SUBSTITUTE(SUBSTITUTE(SUBSTITUTE(SUBSTITUTE(D12,"亚庇","Kota Kinabalu"),"公寓","Kondominium"),"排屋","Rumah Teres"),"别墅","Vila"),"店铺","Kedai"),"新山","Johor Bahru"),"市中心","Pusat Bandar"),"高级","Premium"),"单位","Unit"),"住宅","Kediaman"),"")</f>
        <v/>
      </c>
      <c r="R12" s="31" t="str">
        <f aca="false">IF(D12&lt;&gt;"","📍 "&amp;IF(E12&lt;&gt;"",E12&amp;"房","")&amp;IF(F12&lt;&gt;"",F12&amp;"卫 ","")&amp;IF(G12&lt;&gt;"",G12&amp;" sqft","")&amp;IF(AND(OR(E12&lt;&gt;"",G12&lt;&gt;""),H12&lt;&gt;"")," · ","")&amp;IF(H12&lt;&gt;"",H12,""),"")</f>
        <v/>
      </c>
      <c r="S12" s="31" t="str">
        <f aca="false">IF(D12&lt;&gt;"","📍 "&amp;IF(E12&lt;&gt;"",E12&amp;"BR ","")&amp;IF(F12&lt;&gt;"",F12&amp;"BA ","")&amp;IF(G12&lt;&gt;"",G12&amp;" sqft","")&amp;IF(AND(OR(E12&lt;&gt;"",G12&lt;&gt;""),H12&lt;&gt;"")," · ","")&amp;IF(H12&lt;&gt;"",SUBSTITUTE(SUBSTITUTE(SUBSTITUTE(SUBSTITUTE(SUBSTITUTE(SUBSTITUTE(SUBSTITUTE(SUBSTITUTE(SUBSTITUTE(SUBSTITUTE(H12,"游泳池","Swimming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2" s="31" t="str">
        <f aca="false">IF(D12&lt;&gt;"","📍 "&amp;IF(E12&lt;&gt;"",E12&amp;"Bilik ","")&amp;IF(F12&lt;&gt;"",F12&amp;"Bilik Air ","")&amp;IF(G12&lt;&gt;"",G12&amp;" sqft","")&amp;IF(AND(OR(E12&lt;&gt;"",G12&lt;&gt;""),H12&lt;&gt;"")," · ","")&amp;IF(H12&lt;&gt;"",SUBSTITUTE(SUBSTITUTE(SUBSTITUTE(SUBSTITUTE(SUBSTITUTE(SUBSTITUTE(SUBSTITUTE(SUBSTITUTE(SUBSTITUTE(SUBSTITUTE(H12,"游泳池","Kolam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2" s="32" t="str">
        <f aca="false">IF(OR(I12&lt;&gt;"",J12&lt;&gt;"",K12&lt;&gt;""),"🔒 "&amp;IF(I12&lt;&gt;"",I12,"")&amp;IF(AND(I12&lt;&gt;"",J12&lt;&gt;"")," · ","")&amp;IF(J12&lt;&gt;"",J12,"")&amp;IF(AND(OR(I12&lt;&gt;"",J12&lt;&gt;""),K12&lt;&gt;"")," · ","")&amp;IF(K12&lt;&gt;"",K12,""),"")</f>
        <v/>
      </c>
      <c r="V12" s="31" t="str">
        <f aca="false">IF(L12&lt;&gt;"","💰 售价 RM "&amp;TEXT(L12,"#,##0"),"")</f>
        <v/>
      </c>
      <c r="W12" s="31" t="str">
        <f aca="false">IF(L12&lt;&gt;"","💰 Selling Price RM "&amp;TEXT(L12,"#,##0"),"")</f>
        <v/>
      </c>
      <c r="X12" s="31" t="str">
        <f aca="false">IF(L12&lt;&gt;"","💰 Harga Jualan RM "&amp;TEXT(L12,"#,##0"),"")</f>
        <v/>
      </c>
      <c r="Y12" s="33" t="str">
        <f aca="false">IF(D12&lt;&gt;"","您好！我想咨询购买：
🏠 "&amp;D12&amp;"
"&amp;IF(E12&lt;&gt;"","🛏 "&amp;E12&amp;"房"&amp;IF(F12&lt;&gt;""," "&amp;F12&amp;"卫","")&amp;"
","")&amp;IF(G12&lt;&gt;"","📐 "&amp;G12&amp;" sqft
","")&amp;IF(H12&lt;&gt;"","🏊 "&amp;H12&amp;"
","")&amp;IF(U12&lt;&gt;"",U12&amp;"
","")&amp;IF(L12&lt;&gt;"","💰 售价 RM "&amp;TEXT(L12,"#,##0")&amp;"
","")&amp;"
请问还有空档吗？谢谢！","")</f>
        <v/>
      </c>
      <c r="Z12" s="33" t="str">
        <f aca="false">IF(D12&lt;&gt;"","Hi! I'd like to make a purchase enquiry:
🏠 "&amp;P12&amp;"
"&amp;IF(E12&lt;&gt;"","🛏 "&amp;E12&amp;"BR"&amp;IF(F12&lt;&gt;""," "&amp;F12&amp;"BA","")&amp;"
","")&amp;IF(G12&lt;&gt;"","📐 "&amp;G12&amp;" sqft
","")&amp;IF(H12&lt;&gt;"","🏊 "&amp;SUBSTITUTE(SUBSTITUTE(SUBSTITUTE(SUBSTITUTE(SUBSTITUTE(SUBSTITUTE(SUBSTITUTE(SUBSTITUTE(SUBSTITUTE(SUBSTITUTE(H12,"游泳池","Swimming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","")&amp;IF(L12&lt;&gt;"","💰 Selling Price RM "&amp;TEXT(L12,"#,##0")&amp;"
","")&amp;"
Is this still available? Thank you!","")</f>
        <v/>
      </c>
      <c r="AA12" s="31"/>
      <c r="AB12" s="33" t="str">
        <f aca="false">IF(D12&lt;&gt;"","Helo! Saya ingin membuat pertanyaan pembelian:
🏠 "&amp;Q12&amp;"
"&amp;IF(E12&lt;&gt;"","🛏 "&amp;E12&amp;"Bilik"&amp;IF(F12&lt;&gt;""," "&amp;F12&amp;"Bilik Air","")&amp;"
","")&amp;IF(G12&lt;&gt;"","📐 "&amp;G12&amp;" sqft
","")&amp;IF(H12&lt;&gt;"","🏊 "&amp;SUBSTITUTE(SUBSTITUTE(SUBSTITUTE(SUBSTITUTE(SUBSTITUTE(SUBSTITUTE(SUBSTITUTE(SUBSTITUTE(SUBSTITUTE(SUBSTITUTE(H12,"游泳池","Kolam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","")&amp;IF(L12&lt;&gt;"","💰 Harga Jualan RM "&amp;TEXT(L12,"#,##0")&amp;"
","")&amp;"
Adakah masih tersedia? Terima kasih!","")</f>
        <v/>
      </c>
    </row>
    <row r="13" customFormat="false" ht="51.7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29"/>
      <c r="J13" s="29"/>
      <c r="K13" s="29"/>
      <c r="L13" s="28"/>
      <c r="M13" s="30"/>
      <c r="N13" s="31" t="str">
        <f aca="false">IFERROR(ifs(B13="🏢 Condo 公寓","fa-building",B13="🏠 Apartment 单位","fa-home",B13="🌿 即租即住","fa-home",B13="🌿 近国际学校","fa-school",B13="📌 商业旺铺","fa-store",B13="🌟 海景豪宅","fa-water-ladder",B13="📈 投资优选","fa-chart-line",B13="🏞️ 花园住宅","fa-tree",B13="🌟 2026全新地标","fa-drafting-compass",B13="📈 海外投资优选","fa-globe",B13="🌆 核心地段","fa-city",B13="🔥 限时优惠","fa-fire",B13="✅ 永久产权","fa-certificate",B13="🏅 高回报","fa-medal",B13="🏖️ 度假胜地","fa-umbrella-beach",B13="🏫 学区优选","fa-graduation-cap",B13="🛣️ 交通便利","fa-road",B13="🔑 即买即住","fa-key"),"fa-home")</f>
        <v>fa-home</v>
      </c>
      <c r="O13" s="31" t="str">
        <f aca="false">IF(D13&lt;&gt;"",D13,"")</f>
        <v/>
      </c>
      <c r="P13" s="31" t="str">
        <f aca="false">IF(D13&lt;&gt;"",SUBSTITUTE(SUBSTITUTE(SUBSTITUTE(SUBSTITUTE(SUBSTITUTE(SUBSTITUTE(SUBSTITUTE(SUBSTITUTE(SUBSTITUTE(SUBSTITUTE(D13,"亚庇","Kota Kinabalu"),"公寓","Condo"),"排屋","Terrace"),"别墅","Villa"),"店铺","Shop"),"新山","Johor Bahru"),"市中心","City Centre"),"高级","Premium"),"单位","Unit"),"住宅","Residence"),"")</f>
        <v/>
      </c>
      <c r="Q13" s="31" t="str">
        <f aca="false">IF(D13&lt;&gt;"",SUBSTITUTE(SUBSTITUTE(SUBSTITUTE(SUBSTITUTE(SUBSTITUTE(SUBSTITUTE(SUBSTITUTE(SUBSTITUTE(SUBSTITUTE(SUBSTITUTE(D13,"亚庇","Kota Kinabalu"),"公寓","Kondominium"),"排屋","Rumah Teres"),"别墅","Vila"),"店铺","Kedai"),"新山","Johor Bahru"),"市中心","Pusat Bandar"),"高级","Premium"),"单位","Unit"),"住宅","Kediaman"),"")</f>
        <v/>
      </c>
      <c r="R13" s="31" t="str">
        <f aca="false">IF(D13&lt;&gt;"","📍 "&amp;IF(E13&lt;&gt;"",E13&amp;"房","")&amp;IF(F13&lt;&gt;"",F13&amp;"卫 ","")&amp;IF(G13&lt;&gt;"",G13&amp;" sqft","")&amp;IF(AND(OR(E13&lt;&gt;"",G13&lt;&gt;""),H13&lt;&gt;"")," · ","")&amp;IF(H13&lt;&gt;"",H13,""),"")</f>
        <v/>
      </c>
      <c r="S13" s="31" t="str">
        <f aca="false">IF(D13&lt;&gt;"","📍 "&amp;IF(E13&lt;&gt;"",E13&amp;"BR ","")&amp;IF(F13&lt;&gt;"",F13&amp;"BA ","")&amp;IF(G13&lt;&gt;"",G13&amp;" sqft","")&amp;IF(AND(OR(E13&lt;&gt;"",G13&lt;&gt;""),H13&lt;&gt;"")," · ","")&amp;IF(H13&lt;&gt;"",SUBSTITUTE(SUBSTITUTE(SUBSTITUTE(SUBSTITUTE(SUBSTITUTE(SUBSTITUTE(SUBSTITUTE(SUBSTITUTE(SUBSTITUTE(SUBSTITUTE(H13,"游泳池","Swimming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3" s="31" t="str">
        <f aca="false">IF(D13&lt;&gt;"","📍 "&amp;IF(E13&lt;&gt;"",E13&amp;"Bilik ","")&amp;IF(F13&lt;&gt;"",F13&amp;"Bilik Air ","")&amp;IF(G13&lt;&gt;"",G13&amp;" sqft","")&amp;IF(AND(OR(E13&lt;&gt;"",G13&lt;&gt;""),H13&lt;&gt;"")," · ","")&amp;IF(H13&lt;&gt;"",SUBSTITUTE(SUBSTITUTE(SUBSTITUTE(SUBSTITUTE(SUBSTITUTE(SUBSTITUTE(SUBSTITUTE(SUBSTITUTE(SUBSTITUTE(SUBSTITUTE(H13,"游泳池","Kolam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3" s="32" t="str">
        <f aca="false">IF(OR(I13&lt;&gt;"",J13&lt;&gt;"",K13&lt;&gt;""),"🔒 "&amp;IF(I13&lt;&gt;"",I13,"")&amp;IF(AND(I13&lt;&gt;"",J13&lt;&gt;"")," · ","")&amp;IF(J13&lt;&gt;"",J13,"")&amp;IF(AND(OR(I13&lt;&gt;"",J13&lt;&gt;""),K13&lt;&gt;"")," · ","")&amp;IF(K13&lt;&gt;"",K13,""),"")</f>
        <v/>
      </c>
      <c r="V13" s="31" t="str">
        <f aca="false">IF(L13&lt;&gt;"","💰 售价 RM "&amp;TEXT(L13,"#,##0"),"")</f>
        <v/>
      </c>
      <c r="W13" s="31" t="str">
        <f aca="false">IF(L13&lt;&gt;"","💰 Selling Price RM "&amp;TEXT(L13,"#,##0"),"")</f>
        <v/>
      </c>
      <c r="X13" s="31" t="str">
        <f aca="false">IF(L13&lt;&gt;"","💰 Harga Jualan RM "&amp;TEXT(L13,"#,##0"),"")</f>
        <v/>
      </c>
      <c r="Y13" s="33" t="str">
        <f aca="false">IF(D13&lt;&gt;"","您好！我想咨询购买：
🏠 "&amp;D13&amp;"
"&amp;IF(E13&lt;&gt;"","🛏 "&amp;E13&amp;"房"&amp;IF(F13&lt;&gt;""," "&amp;F13&amp;"卫","")&amp;"
","")&amp;IF(G13&lt;&gt;"","📐 "&amp;G13&amp;" sqft
","")&amp;IF(H13&lt;&gt;"","🏊 "&amp;H13&amp;"
","")&amp;IF(U13&lt;&gt;"",U13&amp;"
","")&amp;IF(L13&lt;&gt;"","💰 售价 RM "&amp;TEXT(L13,"#,##0")&amp;"
","")&amp;"
请问还有空档吗？谢谢！","")</f>
        <v/>
      </c>
      <c r="Z13" s="33" t="str">
        <f aca="false">IF(D13&lt;&gt;"","Hi! I'd like to make a purchase enquiry:
🏠 "&amp;P13&amp;"
"&amp;IF(E13&lt;&gt;"","🛏 "&amp;E13&amp;"BR"&amp;IF(F13&lt;&gt;""," "&amp;F13&amp;"BA","")&amp;"
","")&amp;IF(G13&lt;&gt;"","📐 "&amp;G13&amp;" sqft
","")&amp;IF(H13&lt;&gt;"","🏊 "&amp;SUBSTITUTE(SUBSTITUTE(SUBSTITUTE(SUBSTITUTE(SUBSTITUTE(SUBSTITUTE(SUBSTITUTE(SUBSTITUTE(SUBSTITUTE(SUBSTITUTE(H13,"游泳池","Swimming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","")&amp;IF(L13&lt;&gt;"","💰 Selling Price RM "&amp;TEXT(L13,"#,##0")&amp;"
","")&amp;"
Is this still available? Thank you!","")</f>
        <v/>
      </c>
      <c r="AA13" s="31"/>
      <c r="AB13" s="33" t="str">
        <f aca="false">IF(D13&lt;&gt;"","Helo! Saya ingin membuat pertanyaan pembelian:
🏠 "&amp;Q13&amp;"
"&amp;IF(E13&lt;&gt;"","🛏 "&amp;E13&amp;"Bilik"&amp;IF(F13&lt;&gt;""," "&amp;F13&amp;"Bilik Air","")&amp;"
","")&amp;IF(G13&lt;&gt;"","📐 "&amp;G13&amp;" sqft
","")&amp;IF(H13&lt;&gt;"","🏊 "&amp;SUBSTITUTE(SUBSTITUTE(SUBSTITUTE(SUBSTITUTE(SUBSTITUTE(SUBSTITUTE(SUBSTITUTE(SUBSTITUTE(SUBSTITUTE(SUBSTITUTE(H13,"游泳池","Kolam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","")&amp;IF(L13&lt;&gt;"","💰 Harga Jualan RM "&amp;TEXT(L13,"#,##0")&amp;"
","")&amp;"
Adakah masih tersedia? Terima kasih!","")</f>
        <v/>
      </c>
    </row>
    <row r="14" customFormat="false" ht="5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  <c r="L14" s="28"/>
      <c r="M14" s="30"/>
      <c r="N14" s="31" t="str">
        <f aca="false">IFERROR(ifs(B14="🏢 Condo 公寓","fa-building",B14="🏠 Apartment 单位","fa-home",B14="🌿 即租即住","fa-home",B14="🌿 近国际学校","fa-school",B14="📌 商业旺铺","fa-store",B14="🌟 海景豪宅","fa-water-ladder",B14="📈 投资优选","fa-chart-line",B14="🏞️ 花园住宅","fa-tree",B14="🌟 2026全新地标","fa-drafting-compass",B14="📈 海外投资优选","fa-globe",B14="🌆 核心地段","fa-city",B14="🔥 限时优惠","fa-fire",B14="✅ 永久产权","fa-certificate",B14="🏅 高回报","fa-medal",B14="🏖️ 度假胜地","fa-umbrella-beach",B14="🏫 学区优选","fa-graduation-cap",B14="🛣️ 交通便利","fa-road",B14="🔑 即买即住","fa-key"),"fa-home")</f>
        <v>fa-home</v>
      </c>
      <c r="O14" s="31" t="str">
        <f aca="false">IF(D14&lt;&gt;"",D14,"")</f>
        <v/>
      </c>
      <c r="P14" s="31" t="str">
        <f aca="false">IF(D14&lt;&gt;"",SUBSTITUTE(SUBSTITUTE(SUBSTITUTE(SUBSTITUTE(SUBSTITUTE(SUBSTITUTE(SUBSTITUTE(SUBSTITUTE(SUBSTITUTE(SUBSTITUTE(D14,"亚庇","Kota Kinabalu"),"公寓","Condo"),"排屋","Terrace"),"别墅","Villa"),"店铺","Shop"),"新山","Johor Bahru"),"市中心","City Centre"),"高级","Premium"),"单位","Unit"),"住宅","Residence"),"")</f>
        <v/>
      </c>
      <c r="Q14" s="31" t="str">
        <f aca="false">IF(D14&lt;&gt;"",SUBSTITUTE(SUBSTITUTE(SUBSTITUTE(SUBSTITUTE(SUBSTITUTE(SUBSTITUTE(SUBSTITUTE(SUBSTITUTE(SUBSTITUTE(SUBSTITUTE(D14,"亚庇","Kota Kinabalu"),"公寓","Kondominium"),"排屋","Rumah Teres"),"别墅","Vila"),"店铺","Kedai"),"新山","Johor Bahru"),"市中心","Pusat Bandar"),"高级","Premium"),"单位","Unit"),"住宅","Kediaman"),"")</f>
        <v/>
      </c>
      <c r="R14" s="31" t="str">
        <f aca="false">IF(D14&lt;&gt;"","📍 "&amp;IF(E14&lt;&gt;"",E14&amp;"房","")&amp;IF(F14&lt;&gt;"",F14&amp;"卫 ","")&amp;IF(G14&lt;&gt;"",G14&amp;" sqft","")&amp;IF(AND(OR(E14&lt;&gt;"",G14&lt;&gt;""),H14&lt;&gt;"")," · ","")&amp;IF(H14&lt;&gt;"",H14,""),"")</f>
        <v/>
      </c>
      <c r="S14" s="31" t="str">
        <f aca="false">IF(D14&lt;&gt;"","📍 "&amp;IF(E14&lt;&gt;"",E14&amp;"BR ","")&amp;IF(F14&lt;&gt;"",F14&amp;"BA ","")&amp;IF(G14&lt;&gt;"",G14&amp;" sqft","")&amp;IF(AND(OR(E14&lt;&gt;"",G14&lt;&gt;""),H14&lt;&gt;"")," · ","")&amp;IF(H14&lt;&gt;"",SUBSTITUTE(SUBSTITUTE(SUBSTITUTE(SUBSTITUTE(SUBSTITUTE(SUBSTITUTE(SUBSTITUTE(SUBSTITUTE(SUBSTITUTE(SUBSTITUTE(H14,"游泳池","Swimming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4" s="31" t="str">
        <f aca="false">IF(D14&lt;&gt;"","📍 "&amp;IF(E14&lt;&gt;"",E14&amp;"Bilik ","")&amp;IF(F14&lt;&gt;"",F14&amp;"Bilik Air ","")&amp;IF(G14&lt;&gt;"",G14&amp;" sqft","")&amp;IF(AND(OR(E14&lt;&gt;"",G14&lt;&gt;""),H14&lt;&gt;"")," · ","")&amp;IF(H14&lt;&gt;"",SUBSTITUTE(SUBSTITUTE(SUBSTITUTE(SUBSTITUTE(SUBSTITUTE(SUBSTITUTE(SUBSTITUTE(SUBSTITUTE(SUBSTITUTE(SUBSTITUTE(H14,"游泳池","Kolam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4" s="32" t="str">
        <f aca="false">IF(OR(I14&lt;&gt;"",J14&lt;&gt;"",K14&lt;&gt;""),"🔒 "&amp;IF(I14&lt;&gt;"",I14,"")&amp;IF(AND(I14&lt;&gt;"",J14&lt;&gt;"")," · ","")&amp;IF(J14&lt;&gt;"",J14,"")&amp;IF(AND(OR(I14&lt;&gt;"",J14&lt;&gt;""),K14&lt;&gt;"")," · ","")&amp;IF(K14&lt;&gt;"",K14,""),"")</f>
        <v/>
      </c>
      <c r="V14" s="31" t="str">
        <f aca="false">IF(L14&lt;&gt;"","💰 售价 RM "&amp;TEXT(L14,"#,##0"),"")</f>
        <v/>
      </c>
      <c r="W14" s="31" t="str">
        <f aca="false">IF(L14&lt;&gt;"","💰 Selling Price RM "&amp;TEXT(L14,"#,##0"),"")</f>
        <v/>
      </c>
      <c r="X14" s="31" t="str">
        <f aca="false">IF(L14&lt;&gt;"","💰 Harga Jualan RM "&amp;TEXT(L14,"#,##0"),"")</f>
        <v/>
      </c>
      <c r="Y14" s="33" t="str">
        <f aca="false">IF(D14&lt;&gt;"","您好！我想咨询购买：
🏠 "&amp;D14&amp;"
"&amp;IF(E14&lt;&gt;"","🛏 "&amp;E14&amp;"房"&amp;IF(F14&lt;&gt;""," "&amp;F14&amp;"卫","")&amp;"
","")&amp;IF(G14&lt;&gt;"","📐 "&amp;G14&amp;" sqft
","")&amp;IF(H14&lt;&gt;"","🏊 "&amp;H14&amp;"
","")&amp;IF(U14&lt;&gt;"",U14&amp;"
","")&amp;IF(L14&lt;&gt;"","💰 售价 RM "&amp;TEXT(L14,"#,##0")&amp;"
","")&amp;"
请问还有空档吗？谢谢！","")</f>
        <v/>
      </c>
      <c r="Z14" s="33" t="str">
        <f aca="false">IF(D14&lt;&gt;"","Hi! I'd like to make a purchase enquiry:
🏠 "&amp;P14&amp;"
"&amp;IF(E14&lt;&gt;"","🛏 "&amp;E14&amp;"BR"&amp;IF(F14&lt;&gt;""," "&amp;F14&amp;"BA","")&amp;"
","")&amp;IF(G14&lt;&gt;"","📐 "&amp;G14&amp;" sqft
","")&amp;IF(H14&lt;&gt;"","🏊 "&amp;SUBSTITUTE(SUBSTITUTE(SUBSTITUTE(SUBSTITUTE(SUBSTITUTE(SUBSTITUTE(SUBSTITUTE(SUBSTITUTE(SUBSTITUTE(SUBSTITUTE(H14,"游泳池","Swimming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","")&amp;IF(L14&lt;&gt;"","💰 Selling Price RM "&amp;TEXT(L14,"#,##0")&amp;"
","")&amp;"
Is this still available? Thank you!","")</f>
        <v/>
      </c>
      <c r="AA14" s="31"/>
      <c r="AB14" s="33" t="str">
        <f aca="false">IF(D14&lt;&gt;"","Helo! Saya ingin membuat pertanyaan pembelian:
🏠 "&amp;Q14&amp;"
"&amp;IF(E14&lt;&gt;"","🛏 "&amp;E14&amp;"Bilik"&amp;IF(F14&lt;&gt;""," "&amp;F14&amp;"Bilik Air","")&amp;"
","")&amp;IF(G14&lt;&gt;"","📐 "&amp;G14&amp;" sqft
","")&amp;IF(H14&lt;&gt;"","🏊 "&amp;SUBSTITUTE(SUBSTITUTE(SUBSTITUTE(SUBSTITUTE(SUBSTITUTE(SUBSTITUTE(SUBSTITUTE(SUBSTITUTE(SUBSTITUTE(SUBSTITUTE(H14,"游泳池","Kolam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","")&amp;IF(L14&lt;&gt;"","💰 Harga Jualan RM "&amp;TEXT(L14,"#,##0")&amp;"
","")&amp;"
Adakah masih tersedia? Terima kasih!","")</f>
        <v/>
      </c>
    </row>
    <row r="15" customFormat="false" ht="51.7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9"/>
      <c r="J15" s="29"/>
      <c r="K15" s="29"/>
      <c r="L15" s="28"/>
      <c r="M15" s="30"/>
      <c r="N15" s="31" t="str">
        <f aca="false">IFERROR(ifs(B15="🏢 Condo 公寓","fa-building",B15="🏠 Apartment 单位","fa-home",B15="🌿 即租即住","fa-home",B15="🌿 近国际学校","fa-school",B15="📌 商业旺铺","fa-store",B15="🌟 海景豪宅","fa-water-ladder",B15="📈 投资优选","fa-chart-line",B15="🏞️ 花园住宅","fa-tree",B15="🌟 2026全新地标","fa-drafting-compass",B15="📈 海外投资优选","fa-globe",B15="🌆 核心地段","fa-city",B15="🔥 限时优惠","fa-fire",B15="✅ 永久产权","fa-certificate",B15="🏅 高回报","fa-medal",B15="🏖️ 度假胜地","fa-umbrella-beach",B15="🏫 学区优选","fa-graduation-cap",B15="🛣️ 交通便利","fa-road",B15="🔑 即买即住","fa-key"),"fa-home")</f>
        <v>fa-home</v>
      </c>
      <c r="O15" s="31" t="str">
        <f aca="false">IF(D15&lt;&gt;"",D15,"")</f>
        <v/>
      </c>
      <c r="P15" s="31" t="str">
        <f aca="false">IF(D15&lt;&gt;"",SUBSTITUTE(SUBSTITUTE(SUBSTITUTE(SUBSTITUTE(SUBSTITUTE(SUBSTITUTE(SUBSTITUTE(SUBSTITUTE(SUBSTITUTE(SUBSTITUTE(D15,"亚庇","Kota Kinabalu"),"公寓","Condo"),"排屋","Terrace"),"别墅","Villa"),"店铺","Shop"),"新山","Johor Bahru"),"市中心","City Centre"),"高级","Premium"),"单位","Unit"),"住宅","Residence"),"")</f>
        <v/>
      </c>
      <c r="Q15" s="31" t="str">
        <f aca="false">IF(D15&lt;&gt;"",SUBSTITUTE(SUBSTITUTE(SUBSTITUTE(SUBSTITUTE(SUBSTITUTE(SUBSTITUTE(SUBSTITUTE(SUBSTITUTE(SUBSTITUTE(SUBSTITUTE(D15,"亚庇","Kota Kinabalu"),"公寓","Kondominium"),"排屋","Rumah Teres"),"别墅","Vila"),"店铺","Kedai"),"新山","Johor Bahru"),"市中心","Pusat Bandar"),"高级","Premium"),"单位","Unit"),"住宅","Kediaman"),"")</f>
        <v/>
      </c>
      <c r="R15" s="31" t="str">
        <f aca="false">IF(D15&lt;&gt;"","📍 "&amp;IF(E15&lt;&gt;"",E15&amp;"房","")&amp;IF(F15&lt;&gt;"",F15&amp;"卫 ","")&amp;IF(G15&lt;&gt;"",G15&amp;" sqft","")&amp;IF(AND(OR(E15&lt;&gt;"",G15&lt;&gt;""),H15&lt;&gt;"")," · ","")&amp;IF(H15&lt;&gt;"",H15,""),"")</f>
        <v/>
      </c>
      <c r="S15" s="31" t="str">
        <f aca="false">IF(D15&lt;&gt;"","📍 "&amp;IF(E15&lt;&gt;"",E15&amp;"BR ","")&amp;IF(F15&lt;&gt;"",F15&amp;"BA ","")&amp;IF(G15&lt;&gt;"",G15&amp;" sqft","")&amp;IF(AND(OR(E15&lt;&gt;"",G15&lt;&gt;""),H15&lt;&gt;"")," · ","")&amp;IF(H15&lt;&gt;"",SUBSTITUTE(SUBSTITUTE(SUBSTITUTE(SUBSTITUTE(SUBSTITUTE(SUBSTITUTE(SUBSTITUTE(SUBSTITUTE(SUBSTITUTE(SUBSTITUTE(H15,"游泳池","Swimming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5" s="31" t="str">
        <f aca="false">IF(D15&lt;&gt;"","📍 "&amp;IF(E15&lt;&gt;"",E15&amp;"Bilik ","")&amp;IF(F15&lt;&gt;"",F15&amp;"Bilik Air ","")&amp;IF(G15&lt;&gt;"",G15&amp;" sqft","")&amp;IF(AND(OR(E15&lt;&gt;"",G15&lt;&gt;""),H15&lt;&gt;"")," · ","")&amp;IF(H15&lt;&gt;"",SUBSTITUTE(SUBSTITUTE(SUBSTITUTE(SUBSTITUTE(SUBSTITUTE(SUBSTITUTE(SUBSTITUTE(SUBSTITUTE(SUBSTITUTE(SUBSTITUTE(H15,"游泳池","Kolam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5" s="32" t="str">
        <f aca="false">IF(OR(I15&lt;&gt;"",J15&lt;&gt;"",K15&lt;&gt;""),"🔒 "&amp;IF(I15&lt;&gt;"",I15,"")&amp;IF(AND(I15&lt;&gt;"",J15&lt;&gt;"")," · ","")&amp;IF(J15&lt;&gt;"",J15,"")&amp;IF(AND(OR(I15&lt;&gt;"",J15&lt;&gt;""),K15&lt;&gt;"")," · ","")&amp;IF(K15&lt;&gt;"",K15,""),"")</f>
        <v/>
      </c>
      <c r="V15" s="31" t="str">
        <f aca="false">IF(L15&lt;&gt;"","💰 售价 RM "&amp;TEXT(L15,"#,##0"),"")</f>
        <v/>
      </c>
      <c r="W15" s="31" t="str">
        <f aca="false">IF(L15&lt;&gt;"","💰 Selling Price RM "&amp;TEXT(L15,"#,##0"),"")</f>
        <v/>
      </c>
      <c r="X15" s="31" t="str">
        <f aca="false">IF(L15&lt;&gt;"","💰 Harga Jualan RM "&amp;TEXT(L15,"#,##0"),"")</f>
        <v/>
      </c>
      <c r="Y15" s="33" t="str">
        <f aca="false">IF(D15&lt;&gt;"","您好！我想咨询购买：
🏠 "&amp;D15&amp;"
"&amp;IF(E15&lt;&gt;"","🛏 "&amp;E15&amp;"房"&amp;IF(F15&lt;&gt;""," "&amp;F15&amp;"卫","")&amp;"
","")&amp;IF(G15&lt;&gt;"","📐 "&amp;G15&amp;" sqft
","")&amp;IF(H15&lt;&gt;"","🏊 "&amp;H15&amp;"
","")&amp;IF(U15&lt;&gt;"",U15&amp;"
","")&amp;IF(L15&lt;&gt;"","💰 售价 RM "&amp;TEXT(L15,"#,##0")&amp;"
","")&amp;"
请问还有空档吗？谢谢！","")</f>
        <v/>
      </c>
      <c r="Z15" s="33" t="str">
        <f aca="false">IF(D15&lt;&gt;"","Hi! I'd like to make a purchase enquiry:
🏠 "&amp;P15&amp;"
"&amp;IF(E15&lt;&gt;"","🛏 "&amp;E15&amp;"BR"&amp;IF(F15&lt;&gt;""," "&amp;F15&amp;"BA","")&amp;"
","")&amp;IF(G15&lt;&gt;"","📐 "&amp;G15&amp;" sqft
","")&amp;IF(H15&lt;&gt;"","🏊 "&amp;SUBSTITUTE(SUBSTITUTE(SUBSTITUTE(SUBSTITUTE(SUBSTITUTE(SUBSTITUTE(SUBSTITUTE(SUBSTITUTE(SUBSTITUTE(SUBSTITUTE(H15,"游泳池","Swimming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","")&amp;IF(L15&lt;&gt;"","💰 Selling Price RM "&amp;TEXT(L15,"#,##0")&amp;"
","")&amp;"
Is this still available? Thank you!","")</f>
        <v/>
      </c>
      <c r="AA15" s="31"/>
      <c r="AB15" s="33" t="str">
        <f aca="false">IF(D15&lt;&gt;"","Helo! Saya ingin membuat pertanyaan pembelian:
🏠 "&amp;Q15&amp;"
"&amp;IF(E15&lt;&gt;"","🛏 "&amp;E15&amp;"Bilik"&amp;IF(F15&lt;&gt;""," "&amp;F15&amp;"Bilik Air","")&amp;"
","")&amp;IF(G15&lt;&gt;"","📐 "&amp;G15&amp;" sqft
","")&amp;IF(H15&lt;&gt;"","🏊 "&amp;SUBSTITUTE(SUBSTITUTE(SUBSTITUTE(SUBSTITUTE(SUBSTITUTE(SUBSTITUTE(SUBSTITUTE(SUBSTITUTE(SUBSTITUTE(SUBSTITUTE(H15,"游泳池","Kolam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","")&amp;IF(L15&lt;&gt;"","💰 Harga Jualan RM "&amp;TEXT(L15,"#,##0")&amp;"
","")&amp;"
Adakah masih tersedia? Terima kasih!","")</f>
        <v/>
      </c>
    </row>
    <row r="16" customFormat="false" ht="5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9"/>
      <c r="J16" s="29"/>
      <c r="K16" s="29"/>
      <c r="L16" s="28"/>
      <c r="M16" s="30"/>
      <c r="N16" s="31" t="str">
        <f aca="false">IFERROR(ifs(B16="🏢 Condo 公寓","fa-building",B16="🏠 Apartment 单位","fa-home",B16="🌿 即租即住","fa-home",B16="🌿 近国际学校","fa-school",B16="📌 商业旺铺","fa-store",B16="🌟 海景豪宅","fa-water-ladder",B16="📈 投资优选","fa-chart-line",B16="🏞️ 花园住宅","fa-tree",B16="🌟 2026全新地标","fa-drafting-compass",B16="📈 海外投资优选","fa-globe",B16="🌆 核心地段","fa-city",B16="🔥 限时优惠","fa-fire",B16="✅ 永久产权","fa-certificate",B16="🏅 高回报","fa-medal",B16="🏖️ 度假胜地","fa-umbrella-beach",B16="🏫 学区优选","fa-graduation-cap",B16="🛣️ 交通便利","fa-road",B16="🔑 即买即住","fa-key"),"fa-home")</f>
        <v>fa-home</v>
      </c>
      <c r="O16" s="31" t="str">
        <f aca="false">IF(D16&lt;&gt;"",D16,"")</f>
        <v/>
      </c>
      <c r="P16" s="31" t="str">
        <f aca="false">IF(D16&lt;&gt;"",SUBSTITUTE(SUBSTITUTE(SUBSTITUTE(SUBSTITUTE(SUBSTITUTE(SUBSTITUTE(SUBSTITUTE(SUBSTITUTE(SUBSTITUTE(SUBSTITUTE(D16,"亚庇","Kota Kinabalu"),"公寓","Condo"),"排屋","Terrace"),"别墅","Villa"),"店铺","Shop"),"新山","Johor Bahru"),"市中心","City Centre"),"高级","Premium"),"单位","Unit"),"住宅","Residence"),"")</f>
        <v/>
      </c>
      <c r="Q16" s="31" t="str">
        <f aca="false">IF(D16&lt;&gt;"",SUBSTITUTE(SUBSTITUTE(SUBSTITUTE(SUBSTITUTE(SUBSTITUTE(SUBSTITUTE(SUBSTITUTE(SUBSTITUTE(SUBSTITUTE(SUBSTITUTE(D16,"亚庇","Kota Kinabalu"),"公寓","Kondominium"),"排屋","Rumah Teres"),"别墅","Vila"),"店铺","Kedai"),"新山","Johor Bahru"),"市中心","Pusat Bandar"),"高级","Premium"),"单位","Unit"),"住宅","Kediaman"),"")</f>
        <v/>
      </c>
      <c r="R16" s="31" t="str">
        <f aca="false">IF(D16&lt;&gt;"","📍 "&amp;IF(E16&lt;&gt;"",E16&amp;"房","")&amp;IF(F16&lt;&gt;"",F16&amp;"卫 ","")&amp;IF(G16&lt;&gt;"",G16&amp;" sqft","")&amp;IF(AND(OR(E16&lt;&gt;"",G16&lt;&gt;""),H16&lt;&gt;"")," · ","")&amp;IF(H16&lt;&gt;"",H16,""),"")</f>
        <v/>
      </c>
      <c r="S16" s="31" t="str">
        <f aca="false">IF(D16&lt;&gt;"","📍 "&amp;IF(E16&lt;&gt;"",E16&amp;"BR ","")&amp;IF(F16&lt;&gt;"",F16&amp;"BA ","")&amp;IF(G16&lt;&gt;"",G16&amp;" sqft","")&amp;IF(AND(OR(E16&lt;&gt;"",G16&lt;&gt;""),H16&lt;&gt;"")," · ","")&amp;IF(H16&lt;&gt;"",SUBSTITUTE(SUBSTITUTE(SUBSTITUTE(SUBSTITUTE(SUBSTITUTE(SUBSTITUTE(SUBSTITUTE(SUBSTITUTE(SUBSTITUTE(SUBSTITUTE(H16,"游泳池","Swimming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6" s="31" t="str">
        <f aca="false">IF(D16&lt;&gt;"","📍 "&amp;IF(E16&lt;&gt;"",E16&amp;"Bilik ","")&amp;IF(F16&lt;&gt;"",F16&amp;"Bilik Air ","")&amp;IF(G16&lt;&gt;"",G16&amp;" sqft","")&amp;IF(AND(OR(E16&lt;&gt;"",G16&lt;&gt;""),H16&lt;&gt;"")," · ","")&amp;IF(H16&lt;&gt;"",SUBSTITUTE(SUBSTITUTE(SUBSTITUTE(SUBSTITUTE(SUBSTITUTE(SUBSTITUTE(SUBSTITUTE(SUBSTITUTE(SUBSTITUTE(SUBSTITUTE(H16,"游泳池","Kolam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6" s="32" t="str">
        <f aca="false">IF(OR(I16&lt;&gt;"",J16&lt;&gt;"",K16&lt;&gt;""),"🔒 "&amp;IF(I16&lt;&gt;"",I16,"")&amp;IF(AND(I16&lt;&gt;"",J16&lt;&gt;"")," · ","")&amp;IF(J16&lt;&gt;"",J16,"")&amp;IF(AND(OR(I16&lt;&gt;"",J16&lt;&gt;""),K16&lt;&gt;"")," · ","")&amp;IF(K16&lt;&gt;"",K16,""),"")</f>
        <v/>
      </c>
      <c r="V16" s="31" t="str">
        <f aca="false">IF(L16&lt;&gt;"","💰 售价 RM "&amp;TEXT(L16,"#,##0"),"")</f>
        <v/>
      </c>
      <c r="W16" s="31" t="str">
        <f aca="false">IF(L16&lt;&gt;"","💰 Selling Price RM "&amp;TEXT(L16,"#,##0"),"")</f>
        <v/>
      </c>
      <c r="X16" s="31" t="str">
        <f aca="false">IF(L16&lt;&gt;"","💰 Harga Jualan RM "&amp;TEXT(L16,"#,##0"),"")</f>
        <v/>
      </c>
      <c r="Y16" s="33" t="str">
        <f aca="false">IF(D16&lt;&gt;"","您好！我想咨询购买：
🏠 "&amp;D16&amp;"
"&amp;IF(E16&lt;&gt;"","🛏 "&amp;E16&amp;"房"&amp;IF(F16&lt;&gt;""," "&amp;F16&amp;"卫","")&amp;"
","")&amp;IF(G16&lt;&gt;"","📐 "&amp;G16&amp;" sqft
","")&amp;IF(H16&lt;&gt;"","🏊 "&amp;H16&amp;"
","")&amp;IF(U16&lt;&gt;"",U16&amp;"
","")&amp;IF(L16&lt;&gt;"","💰 售价 RM "&amp;TEXT(L16,"#,##0")&amp;"
","")&amp;"
请问还有空档吗？谢谢！","")</f>
        <v/>
      </c>
      <c r="Z16" s="33" t="str">
        <f aca="false">IF(D16&lt;&gt;"","Hi! I'd like to make a purchase enquiry:
🏠 "&amp;P16&amp;"
"&amp;IF(E16&lt;&gt;"","🛏 "&amp;E16&amp;"BR"&amp;IF(F16&lt;&gt;""," "&amp;F16&amp;"BA","")&amp;"
","")&amp;IF(G16&lt;&gt;"","📐 "&amp;G16&amp;" sqft
","")&amp;IF(H16&lt;&gt;"","🏊 "&amp;SUBSTITUTE(SUBSTITUTE(SUBSTITUTE(SUBSTITUTE(SUBSTITUTE(SUBSTITUTE(SUBSTITUTE(SUBSTITUTE(SUBSTITUTE(SUBSTITUTE(H16,"游泳池","Swimming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","")&amp;IF(L16&lt;&gt;"","💰 Selling Price RM "&amp;TEXT(L16,"#,##0")&amp;"
","")&amp;"
Is this still available? Thank you!","")</f>
        <v/>
      </c>
      <c r="AA16" s="31"/>
      <c r="AB16" s="33" t="str">
        <f aca="false">IF(D16&lt;&gt;"","Helo! Saya ingin membuat pertanyaan pembelian:
🏠 "&amp;Q16&amp;"
"&amp;IF(E16&lt;&gt;"","🛏 "&amp;E16&amp;"Bilik"&amp;IF(F16&lt;&gt;""," "&amp;F16&amp;"Bilik Air","")&amp;"
","")&amp;IF(G16&lt;&gt;"","📐 "&amp;G16&amp;" sqft
","")&amp;IF(H16&lt;&gt;"","🏊 "&amp;SUBSTITUTE(SUBSTITUTE(SUBSTITUTE(SUBSTITUTE(SUBSTITUTE(SUBSTITUTE(SUBSTITUTE(SUBSTITUTE(SUBSTITUTE(SUBSTITUTE(H16,"游泳池","Kolam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","")&amp;IF(L16&lt;&gt;"","💰 Harga Jualan RM "&amp;TEXT(L16,"#,##0")&amp;"
","")&amp;"
Adakah masih tersedia? Terima kasih!","")</f>
        <v/>
      </c>
    </row>
    <row r="17" customFormat="false" ht="51.7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9"/>
      <c r="J17" s="29"/>
      <c r="K17" s="29"/>
      <c r="L17" s="28"/>
      <c r="M17" s="30"/>
      <c r="N17" s="31" t="str">
        <f aca="false">IFERROR(ifs(B17="🏢 Condo 公寓","fa-building",B17="🏠 Apartment 单位","fa-home",B17="🌿 即租即住","fa-home",B17="🌿 近国际学校","fa-school",B17="📌 商业旺铺","fa-store",B17="🌟 海景豪宅","fa-water-ladder",B17="📈 投资优选","fa-chart-line",B17="🏞️ 花园住宅","fa-tree",B17="🌟 2026全新地标","fa-drafting-compass",B17="📈 海外投资优选","fa-globe",B17="🌆 核心地段","fa-city",B17="🔥 限时优惠","fa-fire",B17="✅ 永久产权","fa-certificate",B17="🏅 高回报","fa-medal",B17="🏖️ 度假胜地","fa-umbrella-beach",B17="🏫 学区优选","fa-graduation-cap",B17="🛣️ 交通便利","fa-road",B17="🔑 即买即住","fa-key"),"fa-home")</f>
        <v>fa-home</v>
      </c>
      <c r="O17" s="31" t="str">
        <f aca="false">IF(D17&lt;&gt;"",D17,"")</f>
        <v/>
      </c>
      <c r="P17" s="31" t="str">
        <f aca="false">IF(D17&lt;&gt;"",SUBSTITUTE(SUBSTITUTE(SUBSTITUTE(SUBSTITUTE(SUBSTITUTE(SUBSTITUTE(SUBSTITUTE(SUBSTITUTE(SUBSTITUTE(SUBSTITUTE(D17,"亚庇","Kota Kinabalu"),"公寓","Condo"),"排屋","Terrace"),"别墅","Villa"),"店铺","Shop"),"新山","Johor Bahru"),"市中心","City Centre"),"高级","Premium"),"单位","Unit"),"住宅","Residence"),"")</f>
        <v/>
      </c>
      <c r="Q17" s="31" t="str">
        <f aca="false">IF(D17&lt;&gt;"",SUBSTITUTE(SUBSTITUTE(SUBSTITUTE(SUBSTITUTE(SUBSTITUTE(SUBSTITUTE(SUBSTITUTE(SUBSTITUTE(SUBSTITUTE(SUBSTITUTE(D17,"亚庇","Kota Kinabalu"),"公寓","Kondominium"),"排屋","Rumah Teres"),"别墅","Vila"),"店铺","Kedai"),"新山","Johor Bahru"),"市中心","Pusat Bandar"),"高级","Premium"),"单位","Unit"),"住宅","Kediaman"),"")</f>
        <v/>
      </c>
      <c r="R17" s="31" t="str">
        <f aca="false">IF(D17&lt;&gt;"","📍 "&amp;IF(E17&lt;&gt;"",E17&amp;"房","")&amp;IF(F17&lt;&gt;"",F17&amp;"卫 ","")&amp;IF(G17&lt;&gt;"",G17&amp;" sqft","")&amp;IF(AND(OR(E17&lt;&gt;"",G17&lt;&gt;""),H17&lt;&gt;"")," · ","")&amp;IF(H17&lt;&gt;"",H17,""),"")</f>
        <v/>
      </c>
      <c r="S17" s="31" t="str">
        <f aca="false">IF(D17&lt;&gt;"","📍 "&amp;IF(E17&lt;&gt;"",E17&amp;"BR ","")&amp;IF(F17&lt;&gt;"",F17&amp;"BA ","")&amp;IF(G17&lt;&gt;"",G17&amp;" sqft","")&amp;IF(AND(OR(E17&lt;&gt;"",G17&lt;&gt;""),H17&lt;&gt;"")," · ","")&amp;IF(H17&lt;&gt;"",SUBSTITUTE(SUBSTITUTE(SUBSTITUTE(SUBSTITUTE(SUBSTITUTE(SUBSTITUTE(SUBSTITUTE(SUBSTITUTE(SUBSTITUTE(SUBSTITUTE(H17,"游泳池","Swimming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7" s="31" t="str">
        <f aca="false">IF(D17&lt;&gt;"","📍 "&amp;IF(E17&lt;&gt;"",E17&amp;"Bilik ","")&amp;IF(F17&lt;&gt;"",F17&amp;"Bilik Air ","")&amp;IF(G17&lt;&gt;"",G17&amp;" sqft","")&amp;IF(AND(OR(E17&lt;&gt;"",G17&lt;&gt;""),H17&lt;&gt;"")," · ","")&amp;IF(H17&lt;&gt;"",SUBSTITUTE(SUBSTITUTE(SUBSTITUTE(SUBSTITUTE(SUBSTITUTE(SUBSTITUTE(SUBSTITUTE(SUBSTITUTE(SUBSTITUTE(SUBSTITUTE(H17,"游泳池","Kolam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7" s="32" t="str">
        <f aca="false">IF(OR(I17&lt;&gt;"",J17&lt;&gt;"",K17&lt;&gt;""),"🔒 "&amp;IF(I17&lt;&gt;"",I17,"")&amp;IF(AND(I17&lt;&gt;"",J17&lt;&gt;"")," · ","")&amp;IF(J17&lt;&gt;"",J17,"")&amp;IF(AND(OR(I17&lt;&gt;"",J17&lt;&gt;""),K17&lt;&gt;"")," · ","")&amp;IF(K17&lt;&gt;"",K17,""),"")</f>
        <v/>
      </c>
      <c r="V17" s="31" t="str">
        <f aca="false">IF(L17&lt;&gt;"","💰 售价 RM "&amp;TEXT(L17,"#,##0"),"")</f>
        <v/>
      </c>
      <c r="W17" s="31" t="str">
        <f aca="false">IF(L17&lt;&gt;"","💰 Selling Price RM "&amp;TEXT(L17,"#,##0"),"")</f>
        <v/>
      </c>
      <c r="X17" s="31" t="str">
        <f aca="false">IF(L17&lt;&gt;"","💰 Harga Jualan RM "&amp;TEXT(L17,"#,##0"),"")</f>
        <v/>
      </c>
      <c r="Y17" s="33" t="str">
        <f aca="false">IF(D17&lt;&gt;"","您好！我想咨询购买：
🏠 "&amp;D17&amp;"
"&amp;IF(E17&lt;&gt;"","🛏 "&amp;E17&amp;"房"&amp;IF(F17&lt;&gt;""," "&amp;F17&amp;"卫","")&amp;"
","")&amp;IF(G17&lt;&gt;"","📐 "&amp;G17&amp;" sqft
","")&amp;IF(H17&lt;&gt;"","🏊 "&amp;H17&amp;"
","")&amp;IF(U17&lt;&gt;"",U17&amp;"
","")&amp;IF(L17&lt;&gt;"","💰 售价 RM "&amp;TEXT(L17,"#,##0")&amp;"
","")&amp;"
请问还有空档吗？谢谢！","")</f>
        <v/>
      </c>
      <c r="Z17" s="33" t="str">
        <f aca="false">IF(D17&lt;&gt;"","Hi! I'd like to make a purchase enquiry:
🏠 "&amp;P17&amp;"
"&amp;IF(E17&lt;&gt;"","🛏 "&amp;E17&amp;"BR"&amp;IF(F17&lt;&gt;""," "&amp;F17&amp;"BA","")&amp;"
","")&amp;IF(G17&lt;&gt;"","📐 "&amp;G17&amp;" sqft
","")&amp;IF(H17&lt;&gt;"","🏊 "&amp;SUBSTITUTE(SUBSTITUTE(SUBSTITUTE(SUBSTITUTE(SUBSTITUTE(SUBSTITUTE(SUBSTITUTE(SUBSTITUTE(SUBSTITUTE(SUBSTITUTE(H17,"游泳池","Swimming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","")&amp;IF(L17&lt;&gt;"","💰 Selling Price RM "&amp;TEXT(L17,"#,##0")&amp;"
","")&amp;"
Is this still available? Thank you!","")</f>
        <v/>
      </c>
      <c r="AA17" s="31"/>
      <c r="AB17" s="33" t="str">
        <f aca="false">IF(D17&lt;&gt;"","Helo! Saya ingin membuat pertanyaan pembelian:
🏠 "&amp;Q17&amp;"
"&amp;IF(E17&lt;&gt;"","🛏 "&amp;E17&amp;"Bilik"&amp;IF(F17&lt;&gt;""," "&amp;F17&amp;"Bilik Air","")&amp;"
","")&amp;IF(G17&lt;&gt;"","📐 "&amp;G17&amp;" sqft
","")&amp;IF(H17&lt;&gt;"","🏊 "&amp;SUBSTITUTE(SUBSTITUTE(SUBSTITUTE(SUBSTITUTE(SUBSTITUTE(SUBSTITUTE(SUBSTITUTE(SUBSTITUTE(SUBSTITUTE(SUBSTITUTE(H17,"游泳池","Kolam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","")&amp;IF(L17&lt;&gt;"","💰 Harga Jualan RM "&amp;TEXT(L17,"#,##0")&amp;"
","")&amp;"
Adakah masih tersedia? Terima kasih!","")</f>
        <v/>
      </c>
    </row>
    <row r="18" customFormat="false" ht="5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9"/>
      <c r="J18" s="29"/>
      <c r="K18" s="29"/>
      <c r="L18" s="28"/>
      <c r="M18" s="30"/>
      <c r="N18" s="31" t="str">
        <f aca="false">IFERROR(ifs(B18="🏢 Condo 公寓","fa-building",B18="🏠 Apartment 单位","fa-home",B18="🌿 即租即住","fa-home",B18="🌿 近国际学校","fa-school",B18="📌 商业旺铺","fa-store",B18="🌟 海景豪宅","fa-water-ladder",B18="📈 投资优选","fa-chart-line",B18="🏞️ 花园住宅","fa-tree",B18="🌟 2026全新地标","fa-drafting-compass",B18="📈 海外投资优选","fa-globe",B18="🌆 核心地段","fa-city",B18="🔥 限时优惠","fa-fire",B18="✅ 永久产权","fa-certificate",B18="🏅 高回报","fa-medal",B18="🏖️ 度假胜地","fa-umbrella-beach",B18="🏫 学区优选","fa-graduation-cap",B18="🛣️ 交通便利","fa-road",B18="🔑 即买即住","fa-key"),"fa-home")</f>
        <v>fa-home</v>
      </c>
      <c r="O18" s="31" t="str">
        <f aca="false">IF(D18&lt;&gt;"",D18,"")</f>
        <v/>
      </c>
      <c r="P18" s="31" t="str">
        <f aca="false">IF(D18&lt;&gt;"",SUBSTITUTE(SUBSTITUTE(SUBSTITUTE(SUBSTITUTE(SUBSTITUTE(SUBSTITUTE(SUBSTITUTE(SUBSTITUTE(SUBSTITUTE(SUBSTITUTE(D18,"亚庇","Kota Kinabalu"),"公寓","Condo"),"排屋","Terrace"),"别墅","Villa"),"店铺","Shop"),"新山","Johor Bahru"),"市中心","City Centre"),"高级","Premium"),"单位","Unit"),"住宅","Residence"),"")</f>
        <v/>
      </c>
      <c r="Q18" s="31" t="str">
        <f aca="false">IF(D18&lt;&gt;"",SUBSTITUTE(SUBSTITUTE(SUBSTITUTE(SUBSTITUTE(SUBSTITUTE(SUBSTITUTE(SUBSTITUTE(SUBSTITUTE(SUBSTITUTE(SUBSTITUTE(D18,"亚庇","Kota Kinabalu"),"公寓","Kondominium"),"排屋","Rumah Teres"),"别墅","Vila"),"店铺","Kedai"),"新山","Johor Bahru"),"市中心","Pusat Bandar"),"高级","Premium"),"单位","Unit"),"住宅","Kediaman"),"")</f>
        <v/>
      </c>
      <c r="R18" s="31" t="str">
        <f aca="false">IF(D18&lt;&gt;"","📍 "&amp;IF(E18&lt;&gt;"",E18&amp;"房","")&amp;IF(F18&lt;&gt;"",F18&amp;"卫 ","")&amp;IF(G18&lt;&gt;"",G18&amp;" sqft","")&amp;IF(AND(OR(E18&lt;&gt;"",G18&lt;&gt;""),H18&lt;&gt;"")," · ","")&amp;IF(H18&lt;&gt;"",H18,""),"")</f>
        <v/>
      </c>
      <c r="S18" s="31" t="str">
        <f aca="false">IF(D18&lt;&gt;"","📍 "&amp;IF(E18&lt;&gt;"",E18&amp;"BR ","")&amp;IF(F18&lt;&gt;"",F18&amp;"BA ","")&amp;IF(G18&lt;&gt;"",G18&amp;" sqft","")&amp;IF(AND(OR(E18&lt;&gt;"",G18&lt;&gt;""),H18&lt;&gt;"")," · ","")&amp;IF(H18&lt;&gt;"",SUBSTITUTE(SUBSTITUTE(SUBSTITUTE(SUBSTITUTE(SUBSTITUTE(SUBSTITUTE(SUBSTITUTE(SUBSTITUTE(SUBSTITUTE(SUBSTITUTE(H18,"游泳池","Swimming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8" s="31" t="str">
        <f aca="false">IF(D18&lt;&gt;"","📍 "&amp;IF(E18&lt;&gt;"",E18&amp;"Bilik ","")&amp;IF(F18&lt;&gt;"",F18&amp;"Bilik Air ","")&amp;IF(G18&lt;&gt;"",G18&amp;" sqft","")&amp;IF(AND(OR(E18&lt;&gt;"",G18&lt;&gt;""),H18&lt;&gt;"")," · ","")&amp;IF(H18&lt;&gt;"",SUBSTITUTE(SUBSTITUTE(SUBSTITUTE(SUBSTITUTE(SUBSTITUTE(SUBSTITUTE(SUBSTITUTE(SUBSTITUTE(SUBSTITUTE(SUBSTITUTE(H18,"游泳池","Kolam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8" s="32" t="str">
        <f aca="false">IF(OR(I18&lt;&gt;"",J18&lt;&gt;"",K18&lt;&gt;""),"🔒 "&amp;IF(I18&lt;&gt;"",I18,"")&amp;IF(AND(I18&lt;&gt;"",J18&lt;&gt;"")," · ","")&amp;IF(J18&lt;&gt;"",J18,"")&amp;IF(AND(OR(I18&lt;&gt;"",J18&lt;&gt;""),K18&lt;&gt;"")," · ","")&amp;IF(K18&lt;&gt;"",K18,""),"")</f>
        <v/>
      </c>
      <c r="V18" s="31" t="str">
        <f aca="false">IF(L18&lt;&gt;"","💰 售价 RM "&amp;TEXT(L18,"#,##0"),"")</f>
        <v/>
      </c>
      <c r="W18" s="31" t="str">
        <f aca="false">IF(L18&lt;&gt;"","💰 Selling Price RM "&amp;TEXT(L18,"#,##0"),"")</f>
        <v/>
      </c>
      <c r="X18" s="31" t="str">
        <f aca="false">IF(L18&lt;&gt;"","💰 Harga Jualan RM "&amp;TEXT(L18,"#,##0"),"")</f>
        <v/>
      </c>
      <c r="Y18" s="33" t="str">
        <f aca="false">IF(D18&lt;&gt;"","您好！我想咨询购买：
🏠 "&amp;D18&amp;"
"&amp;IF(E18&lt;&gt;"","🛏 "&amp;E18&amp;"房"&amp;IF(F18&lt;&gt;""," "&amp;F18&amp;"卫","")&amp;"
","")&amp;IF(G18&lt;&gt;"","📐 "&amp;G18&amp;" sqft
","")&amp;IF(H18&lt;&gt;"","🏊 "&amp;H18&amp;"
","")&amp;IF(U18&lt;&gt;"",U18&amp;"
","")&amp;IF(L18&lt;&gt;"","💰 售价 RM "&amp;TEXT(L18,"#,##0")&amp;"
","")&amp;"
请问还有空档吗？谢谢！","")</f>
        <v/>
      </c>
      <c r="Z18" s="33" t="str">
        <f aca="false">IF(D18&lt;&gt;"","Hi! I'd like to make a purchase enquiry:
🏠 "&amp;P18&amp;"
"&amp;IF(E18&lt;&gt;"","🛏 "&amp;E18&amp;"BR"&amp;IF(F18&lt;&gt;""," "&amp;F18&amp;"BA","")&amp;"
","")&amp;IF(G18&lt;&gt;"","📐 "&amp;G18&amp;" sqft
","")&amp;IF(H18&lt;&gt;"","🏊 "&amp;SUBSTITUTE(SUBSTITUTE(SUBSTITUTE(SUBSTITUTE(SUBSTITUTE(SUBSTITUTE(SUBSTITUTE(SUBSTITUTE(SUBSTITUTE(SUBSTITUTE(H18,"游泳池","Swimming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","")&amp;IF(L18&lt;&gt;"","💰 Selling Price RM "&amp;TEXT(L18,"#,##0")&amp;"
","")&amp;"
Is this still available? Thank you!","")</f>
        <v/>
      </c>
      <c r="AA18" s="31"/>
      <c r="AB18" s="33" t="str">
        <f aca="false">IF(D18&lt;&gt;"","Helo! Saya ingin membuat pertanyaan pembelian:
🏠 "&amp;Q18&amp;"
"&amp;IF(E18&lt;&gt;"","🛏 "&amp;E18&amp;"Bilik"&amp;IF(F18&lt;&gt;""," "&amp;F18&amp;"Bilik Air","")&amp;"
","")&amp;IF(G18&lt;&gt;"","📐 "&amp;G18&amp;" sqft
","")&amp;IF(H18&lt;&gt;"","🏊 "&amp;SUBSTITUTE(SUBSTITUTE(SUBSTITUTE(SUBSTITUTE(SUBSTITUTE(SUBSTITUTE(SUBSTITUTE(SUBSTITUTE(SUBSTITUTE(SUBSTITUTE(H18,"游泳池","Kolam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","")&amp;IF(L18&lt;&gt;"","💰 Harga Jualan RM "&amp;TEXT(L18,"#,##0")&amp;"
","")&amp;"
Adakah masih tersedia? Terima kasih!","")</f>
        <v/>
      </c>
    </row>
    <row r="19" customFormat="false" ht="51.7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9"/>
      <c r="J19" s="29"/>
      <c r="K19" s="29"/>
      <c r="L19" s="28"/>
      <c r="M19" s="30"/>
      <c r="N19" s="31" t="str">
        <f aca="false">IFERROR(ifs(B19="🏢 Condo 公寓","fa-building",B19="🏠 Apartment 单位","fa-home",B19="🌿 即租即住","fa-home",B19="🌿 近国际学校","fa-school",B19="📌 商业旺铺","fa-store",B19="🌟 海景豪宅","fa-water-ladder",B19="📈 投资优选","fa-chart-line",B19="🏞️ 花园住宅","fa-tree",B19="🌟 2026全新地标","fa-drafting-compass",B19="📈 海外投资优选","fa-globe",B19="🌆 核心地段","fa-city",B19="🔥 限时优惠","fa-fire",B19="✅ 永久产权","fa-certificate",B19="🏅 高回报","fa-medal",B19="🏖️ 度假胜地","fa-umbrella-beach",B19="🏫 学区优选","fa-graduation-cap",B19="🛣️ 交通便利","fa-road",B19="🔑 即买即住","fa-key"),"fa-home")</f>
        <v>fa-home</v>
      </c>
      <c r="O19" s="31" t="str">
        <f aca="false">IF(D19&lt;&gt;"",D19,"")</f>
        <v/>
      </c>
      <c r="P19" s="31" t="str">
        <f aca="false">IF(D19&lt;&gt;"",SUBSTITUTE(SUBSTITUTE(SUBSTITUTE(SUBSTITUTE(SUBSTITUTE(SUBSTITUTE(SUBSTITUTE(SUBSTITUTE(SUBSTITUTE(SUBSTITUTE(D19,"亚庇","Kota Kinabalu"),"公寓","Condo"),"排屋","Terrace"),"别墅","Villa"),"店铺","Shop"),"新山","Johor Bahru"),"市中心","City Centre"),"高级","Premium"),"单位","Unit"),"住宅","Residence"),"")</f>
        <v/>
      </c>
      <c r="Q19" s="31" t="str">
        <f aca="false">IF(D19&lt;&gt;"",SUBSTITUTE(SUBSTITUTE(SUBSTITUTE(SUBSTITUTE(SUBSTITUTE(SUBSTITUTE(SUBSTITUTE(SUBSTITUTE(SUBSTITUTE(SUBSTITUTE(D19,"亚庇","Kota Kinabalu"),"公寓","Kondominium"),"排屋","Rumah Teres"),"别墅","Vila"),"店铺","Kedai"),"新山","Johor Bahru"),"市中心","Pusat Bandar"),"高级","Premium"),"单位","Unit"),"住宅","Kediaman"),"")</f>
        <v/>
      </c>
      <c r="R19" s="31" t="str">
        <f aca="false">IF(D19&lt;&gt;"","📍 "&amp;IF(E19&lt;&gt;"",E19&amp;"房","")&amp;IF(F19&lt;&gt;"",F19&amp;"卫 ","")&amp;IF(G19&lt;&gt;"",G19&amp;" sqft","")&amp;IF(AND(OR(E19&lt;&gt;"",G19&lt;&gt;""),H19&lt;&gt;"")," · ","")&amp;IF(H19&lt;&gt;"",H19,""),"")</f>
        <v/>
      </c>
      <c r="S19" s="31" t="str">
        <f aca="false">IF(D19&lt;&gt;"","📍 "&amp;IF(E19&lt;&gt;"",E19&amp;"BR ","")&amp;IF(F19&lt;&gt;"",F19&amp;"BA ","")&amp;IF(G19&lt;&gt;"",G19&amp;" sqft","")&amp;IF(AND(OR(E19&lt;&gt;"",G19&lt;&gt;""),H19&lt;&gt;"")," · ","")&amp;IF(H19&lt;&gt;"",SUBSTITUTE(SUBSTITUTE(SUBSTITUTE(SUBSTITUTE(SUBSTITUTE(SUBSTITUTE(SUBSTITUTE(SUBSTITUTE(SUBSTITUTE(SUBSTITUTE(H19,"游泳池","Swimming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9" s="31" t="str">
        <f aca="false">IF(D19&lt;&gt;"","📍 "&amp;IF(E19&lt;&gt;"",E19&amp;"Bilik ","")&amp;IF(F19&lt;&gt;"",F19&amp;"Bilik Air ","")&amp;IF(G19&lt;&gt;"",G19&amp;" sqft","")&amp;IF(AND(OR(E19&lt;&gt;"",G19&lt;&gt;""),H19&lt;&gt;"")," · ","")&amp;IF(H19&lt;&gt;"",SUBSTITUTE(SUBSTITUTE(SUBSTITUTE(SUBSTITUTE(SUBSTITUTE(SUBSTITUTE(SUBSTITUTE(SUBSTITUTE(SUBSTITUTE(SUBSTITUTE(H19,"游泳池","Kolam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9" s="32" t="str">
        <f aca="false">IF(OR(I19&lt;&gt;"",J19&lt;&gt;"",K19&lt;&gt;""),"🔒 "&amp;IF(I19&lt;&gt;"",I19,"")&amp;IF(AND(I19&lt;&gt;"",J19&lt;&gt;"")," · ","")&amp;IF(J19&lt;&gt;"",J19,"")&amp;IF(AND(OR(I19&lt;&gt;"",J19&lt;&gt;""),K19&lt;&gt;"")," · ","")&amp;IF(K19&lt;&gt;"",K19,""),"")</f>
        <v/>
      </c>
      <c r="V19" s="31" t="str">
        <f aca="false">IF(L19&lt;&gt;"","💰 售价 RM "&amp;TEXT(L19,"#,##0"),"")</f>
        <v/>
      </c>
      <c r="W19" s="31" t="str">
        <f aca="false">IF(L19&lt;&gt;"","💰 Selling Price RM "&amp;TEXT(L19,"#,##0"),"")</f>
        <v/>
      </c>
      <c r="X19" s="31" t="str">
        <f aca="false">IF(L19&lt;&gt;"","💰 Harga Jualan RM "&amp;TEXT(L19,"#,##0"),"")</f>
        <v/>
      </c>
      <c r="Y19" s="33" t="str">
        <f aca="false">IF(D19&lt;&gt;"","您好！我想咨询购买：
🏠 "&amp;D19&amp;"
"&amp;IF(E19&lt;&gt;"","🛏 "&amp;E19&amp;"房"&amp;IF(F19&lt;&gt;""," "&amp;F19&amp;"卫","")&amp;"
","")&amp;IF(G19&lt;&gt;"","📐 "&amp;G19&amp;" sqft
","")&amp;IF(H19&lt;&gt;"","🏊 "&amp;H19&amp;"
","")&amp;IF(U19&lt;&gt;"",U19&amp;"
","")&amp;IF(L19&lt;&gt;"","💰 售价 RM "&amp;TEXT(L19,"#,##0")&amp;"
","")&amp;"
请问还有空档吗？谢谢！","")</f>
        <v/>
      </c>
      <c r="Z19" s="33" t="str">
        <f aca="false">IF(D19&lt;&gt;"","Hi! I'd like to make a purchase enquiry:
🏠 "&amp;P19&amp;"
"&amp;IF(E19&lt;&gt;"","🛏 "&amp;E19&amp;"BR"&amp;IF(F19&lt;&gt;""," "&amp;F19&amp;"BA","")&amp;"
","")&amp;IF(G19&lt;&gt;"","📐 "&amp;G19&amp;" sqft
","")&amp;IF(H19&lt;&gt;"","🏊 "&amp;SUBSTITUTE(SUBSTITUTE(SUBSTITUTE(SUBSTITUTE(SUBSTITUTE(SUBSTITUTE(SUBSTITUTE(SUBSTITUTE(SUBSTITUTE(SUBSTITUTE(H19,"游泳池","Swimming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","")&amp;IF(L19&lt;&gt;"","💰 Selling Price RM "&amp;TEXT(L19,"#,##0")&amp;"
","")&amp;"
Is this still available? Thank you!","")</f>
        <v/>
      </c>
      <c r="AA19" s="31"/>
      <c r="AB19" s="33" t="str">
        <f aca="false">IF(D19&lt;&gt;"","Helo! Saya ingin membuat pertanyaan pembelian:
🏠 "&amp;Q19&amp;"
"&amp;IF(E19&lt;&gt;"","🛏 "&amp;E19&amp;"Bilik"&amp;IF(F19&lt;&gt;""," "&amp;F19&amp;"Bilik Air","")&amp;"
","")&amp;IF(G19&lt;&gt;"","📐 "&amp;G19&amp;" sqft
","")&amp;IF(H19&lt;&gt;"","🏊 "&amp;SUBSTITUTE(SUBSTITUTE(SUBSTITUTE(SUBSTITUTE(SUBSTITUTE(SUBSTITUTE(SUBSTITUTE(SUBSTITUTE(SUBSTITUTE(SUBSTITUTE(H19,"游泳池","Kolam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","")&amp;IF(L19&lt;&gt;"","💰 Harga Jualan RM "&amp;TEXT(L19,"#,##0")&amp;"
","")&amp;"
Adakah masih tersedia? Terima kasih!","")</f>
        <v/>
      </c>
    </row>
    <row r="20" customFormat="false" ht="5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9"/>
      <c r="J20" s="29"/>
      <c r="K20" s="29"/>
      <c r="L20" s="28"/>
      <c r="M20" s="30"/>
      <c r="N20" s="31" t="str">
        <f aca="false">IFERROR(ifs(B20="🏢 Condo 公寓","fa-building",B20="🏠 Apartment 单位","fa-home",B20="🌿 即租即住","fa-home",B20="🌿 近国际学校","fa-school",B20="📌 商业旺铺","fa-store",B20="🌟 海景豪宅","fa-water-ladder",B20="📈 投资优选","fa-chart-line",B20="🏞️ 花园住宅","fa-tree",B20="🌟 2026全新地标","fa-drafting-compass",B20="📈 海外投资优选","fa-globe",B20="🌆 核心地段","fa-city",B20="🔥 限时优惠","fa-fire",B20="✅ 永久产权","fa-certificate",B20="🏅 高回报","fa-medal",B20="🏖️ 度假胜地","fa-umbrella-beach",B20="🏫 学区优选","fa-graduation-cap",B20="🛣️ 交通便利","fa-road",B20="🔑 即买即住","fa-key"),"fa-home")</f>
        <v>fa-home</v>
      </c>
      <c r="O20" s="31" t="str">
        <f aca="false">IF(D20&lt;&gt;"",D20,"")</f>
        <v/>
      </c>
      <c r="P20" s="31" t="str">
        <f aca="false">IF(D20&lt;&gt;"",SUBSTITUTE(SUBSTITUTE(SUBSTITUTE(SUBSTITUTE(SUBSTITUTE(SUBSTITUTE(SUBSTITUTE(SUBSTITUTE(SUBSTITUTE(SUBSTITUTE(D20,"亚庇","Kota Kinabalu"),"公寓","Condo"),"排屋","Terrace"),"别墅","Villa"),"店铺","Shop"),"新山","Johor Bahru"),"市中心","City Centre"),"高级","Premium"),"单位","Unit"),"住宅","Residence"),"")</f>
        <v/>
      </c>
      <c r="Q20" s="31" t="str">
        <f aca="false">IF(D20&lt;&gt;"",SUBSTITUTE(SUBSTITUTE(SUBSTITUTE(SUBSTITUTE(SUBSTITUTE(SUBSTITUTE(SUBSTITUTE(SUBSTITUTE(SUBSTITUTE(SUBSTITUTE(D20,"亚庇","Kota Kinabalu"),"公寓","Kondominium"),"排屋","Rumah Teres"),"别墅","Vila"),"店铺","Kedai"),"新山","Johor Bahru"),"市中心","Pusat Bandar"),"高级","Premium"),"单位","Unit"),"住宅","Kediaman"),"")</f>
        <v/>
      </c>
      <c r="R20" s="31" t="str">
        <f aca="false">IF(D20&lt;&gt;"","📍 "&amp;IF(E20&lt;&gt;"",E20&amp;"房","")&amp;IF(F20&lt;&gt;"",F20&amp;"卫 ","")&amp;IF(G20&lt;&gt;"",G20&amp;" sqft","")&amp;IF(AND(OR(E20&lt;&gt;"",G20&lt;&gt;""),H20&lt;&gt;"")," · ","")&amp;IF(H20&lt;&gt;"",H20,""),"")</f>
        <v/>
      </c>
      <c r="S20" s="31" t="str">
        <f aca="false">IF(D20&lt;&gt;"","📍 "&amp;IF(E20&lt;&gt;"",E20&amp;"BR ","")&amp;IF(F20&lt;&gt;"",F20&amp;"BA ","")&amp;IF(G20&lt;&gt;"",G20&amp;" sqft","")&amp;IF(AND(OR(E20&lt;&gt;"",G20&lt;&gt;""),H20&lt;&gt;"")," · ","")&amp;IF(H20&lt;&gt;"",SUBSTITUTE(SUBSTITUTE(SUBSTITUTE(SUBSTITUTE(SUBSTITUTE(SUBSTITUTE(SUBSTITUTE(SUBSTITUTE(SUBSTITUTE(SUBSTITUTE(H20,"游泳池","Swimming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0" s="31" t="str">
        <f aca="false">IF(D20&lt;&gt;"","📍 "&amp;IF(E20&lt;&gt;"",E20&amp;"Bilik ","")&amp;IF(F20&lt;&gt;"",F20&amp;"Bilik Air ","")&amp;IF(G20&lt;&gt;"",G20&amp;" sqft","")&amp;IF(AND(OR(E20&lt;&gt;"",G20&lt;&gt;""),H20&lt;&gt;"")," · ","")&amp;IF(H20&lt;&gt;"",SUBSTITUTE(SUBSTITUTE(SUBSTITUTE(SUBSTITUTE(SUBSTITUTE(SUBSTITUTE(SUBSTITUTE(SUBSTITUTE(SUBSTITUTE(SUBSTITUTE(H20,"游泳池","Kolam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0" s="32" t="str">
        <f aca="false">IF(OR(I20&lt;&gt;"",J20&lt;&gt;"",K20&lt;&gt;""),"🔒 "&amp;IF(I20&lt;&gt;"",I20,"")&amp;IF(AND(I20&lt;&gt;"",J20&lt;&gt;"")," · ","")&amp;IF(J20&lt;&gt;"",J20,"")&amp;IF(AND(OR(I20&lt;&gt;"",J20&lt;&gt;""),K20&lt;&gt;"")," · ","")&amp;IF(K20&lt;&gt;"",K20,""),"")</f>
        <v/>
      </c>
      <c r="V20" s="31" t="str">
        <f aca="false">IF(L20&lt;&gt;"","💰 售价 RM "&amp;TEXT(L20,"#,##0"),"")</f>
        <v/>
      </c>
      <c r="W20" s="31" t="str">
        <f aca="false">IF(L20&lt;&gt;"","💰 Selling Price RM "&amp;TEXT(L20,"#,##0"),"")</f>
        <v/>
      </c>
      <c r="X20" s="31" t="str">
        <f aca="false">IF(L20&lt;&gt;"","💰 Harga Jualan RM "&amp;TEXT(L20,"#,##0"),"")</f>
        <v/>
      </c>
      <c r="Y20" s="33" t="str">
        <f aca="false">IF(D20&lt;&gt;"","您好！我想咨询购买：
🏠 "&amp;D20&amp;"
"&amp;IF(E20&lt;&gt;"","🛏 "&amp;E20&amp;"房"&amp;IF(F20&lt;&gt;""," "&amp;F20&amp;"卫","")&amp;"
","")&amp;IF(G20&lt;&gt;"","📐 "&amp;G20&amp;" sqft
","")&amp;IF(H20&lt;&gt;"","🏊 "&amp;H20&amp;"
","")&amp;IF(U20&lt;&gt;"",U20&amp;"
","")&amp;IF(L20&lt;&gt;"","💰 售价 RM "&amp;TEXT(L20,"#,##0")&amp;"
","")&amp;"
请问还有空档吗？谢谢！","")</f>
        <v/>
      </c>
      <c r="Z20" s="33" t="str">
        <f aca="false">IF(D20&lt;&gt;"","Hi! I'd like to make a purchase enquiry:
🏠 "&amp;P20&amp;"
"&amp;IF(E20&lt;&gt;"","🛏 "&amp;E20&amp;"BR"&amp;IF(F20&lt;&gt;""," "&amp;F20&amp;"BA","")&amp;"
","")&amp;IF(G20&lt;&gt;"","📐 "&amp;G20&amp;" sqft
","")&amp;IF(H20&lt;&gt;"","🏊 "&amp;SUBSTITUTE(SUBSTITUTE(SUBSTITUTE(SUBSTITUTE(SUBSTITUTE(SUBSTITUTE(SUBSTITUTE(SUBSTITUTE(SUBSTITUTE(SUBSTITUTE(H20,"游泳池","Swimming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","")&amp;IF(L20&lt;&gt;"","💰 Selling Price RM "&amp;TEXT(L20,"#,##0")&amp;"
","")&amp;"
Is this still available? Thank you!","")</f>
        <v/>
      </c>
      <c r="AA20" s="31"/>
      <c r="AB20" s="33" t="str">
        <f aca="false">IF(D20&lt;&gt;"","Helo! Saya ingin membuat pertanyaan pembelian:
🏠 "&amp;Q20&amp;"
"&amp;IF(E20&lt;&gt;"","🛏 "&amp;E20&amp;"Bilik"&amp;IF(F20&lt;&gt;""," "&amp;F20&amp;"Bilik Air","")&amp;"
","")&amp;IF(G20&lt;&gt;"","📐 "&amp;G20&amp;" sqft
","")&amp;IF(H20&lt;&gt;"","🏊 "&amp;SUBSTITUTE(SUBSTITUTE(SUBSTITUTE(SUBSTITUTE(SUBSTITUTE(SUBSTITUTE(SUBSTITUTE(SUBSTITUTE(SUBSTITUTE(SUBSTITUTE(H20,"游泳池","Kolam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","")&amp;IF(L20&lt;&gt;"","💰 Harga Jualan RM "&amp;TEXT(L20,"#,##0")&amp;"
","")&amp;"
Adakah masih tersedia? Terima kasih!","")</f>
        <v/>
      </c>
    </row>
    <row r="21" customFormat="false" ht="51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9"/>
      <c r="J21" s="29"/>
      <c r="K21" s="29"/>
      <c r="L21" s="28"/>
      <c r="M21" s="30"/>
      <c r="N21" s="31" t="str">
        <f aca="false">IFERROR(ifs(B21="🏢 Condo 公寓","fa-building",B21="🏠 Apartment 单位","fa-home",B21="🌿 即租即住","fa-home",B21="🌿 近国际学校","fa-school",B21="📌 商业旺铺","fa-store",B21="🌟 海景豪宅","fa-water-ladder",B21="📈 投资优选","fa-chart-line",B21="🏞️ 花园住宅","fa-tree",B21="🌟 2026全新地标","fa-drafting-compass",B21="📈 海外投资优选","fa-globe",B21="🌆 核心地段","fa-city",B21="🔥 限时优惠","fa-fire",B21="✅ 永久产权","fa-certificate",B21="🏅 高回报","fa-medal",B21="🏖️ 度假胜地","fa-umbrella-beach",B21="🏫 学区优选","fa-graduation-cap",B21="🛣️ 交通便利","fa-road",B21="🔑 即买即住","fa-key"),"fa-home")</f>
        <v>fa-home</v>
      </c>
      <c r="O21" s="31" t="str">
        <f aca="false">IF(D21&lt;&gt;"",D21,"")</f>
        <v/>
      </c>
      <c r="P21" s="31" t="str">
        <f aca="false">IF(D21&lt;&gt;"",SUBSTITUTE(SUBSTITUTE(SUBSTITUTE(SUBSTITUTE(SUBSTITUTE(SUBSTITUTE(SUBSTITUTE(SUBSTITUTE(SUBSTITUTE(SUBSTITUTE(D21,"亚庇","Kota Kinabalu"),"公寓","Condo"),"排屋","Terrace"),"别墅","Villa"),"店铺","Shop"),"新山","Johor Bahru"),"市中心","City Centre"),"高级","Premium"),"单位","Unit"),"住宅","Residence"),"")</f>
        <v/>
      </c>
      <c r="Q21" s="31" t="str">
        <f aca="false">IF(D21&lt;&gt;"",SUBSTITUTE(SUBSTITUTE(SUBSTITUTE(SUBSTITUTE(SUBSTITUTE(SUBSTITUTE(SUBSTITUTE(SUBSTITUTE(SUBSTITUTE(SUBSTITUTE(D21,"亚庇","Kota Kinabalu"),"公寓","Kondominium"),"排屋","Rumah Teres"),"别墅","Vila"),"店铺","Kedai"),"新山","Johor Bahru"),"市中心","Pusat Bandar"),"高级","Premium"),"单位","Unit"),"住宅","Kediaman"),"")</f>
        <v/>
      </c>
      <c r="R21" s="31" t="str">
        <f aca="false">IF(D21&lt;&gt;"","📍 "&amp;IF(E21&lt;&gt;"",E21&amp;"房","")&amp;IF(F21&lt;&gt;"",F21&amp;"卫 ","")&amp;IF(G21&lt;&gt;"",G21&amp;" sqft","")&amp;IF(AND(OR(E21&lt;&gt;"",G21&lt;&gt;""),H21&lt;&gt;"")," · ","")&amp;IF(H21&lt;&gt;"",H21,""),"")</f>
        <v/>
      </c>
      <c r="S21" s="31" t="str">
        <f aca="false">IF(D21&lt;&gt;"","📍 "&amp;IF(E21&lt;&gt;"",E21&amp;"BR ","")&amp;IF(F21&lt;&gt;"",F21&amp;"BA ","")&amp;IF(G21&lt;&gt;"",G21&amp;" sqft","")&amp;IF(AND(OR(E21&lt;&gt;"",G21&lt;&gt;""),H21&lt;&gt;"")," · ","")&amp;IF(H21&lt;&gt;"",SUBSTITUTE(SUBSTITUTE(SUBSTITUTE(SUBSTITUTE(SUBSTITUTE(SUBSTITUTE(SUBSTITUTE(SUBSTITUTE(SUBSTITUTE(SUBSTITUTE(H21,"游泳池","Swimming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1" s="31" t="str">
        <f aca="false">IF(D21&lt;&gt;"","📍 "&amp;IF(E21&lt;&gt;"",E21&amp;"Bilik ","")&amp;IF(F21&lt;&gt;"",F21&amp;"Bilik Air ","")&amp;IF(G21&lt;&gt;"",G21&amp;" sqft","")&amp;IF(AND(OR(E21&lt;&gt;"",G21&lt;&gt;""),H21&lt;&gt;"")," · ","")&amp;IF(H21&lt;&gt;"",SUBSTITUTE(SUBSTITUTE(SUBSTITUTE(SUBSTITUTE(SUBSTITUTE(SUBSTITUTE(SUBSTITUTE(SUBSTITUTE(SUBSTITUTE(SUBSTITUTE(H21,"游泳池","Kolam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1" s="32" t="str">
        <f aca="false">IF(OR(I21&lt;&gt;"",J21&lt;&gt;"",K21&lt;&gt;""),"🔒 "&amp;IF(I21&lt;&gt;"",I21,"")&amp;IF(AND(I21&lt;&gt;"",J21&lt;&gt;"")," · ","")&amp;IF(J21&lt;&gt;"",J21,"")&amp;IF(AND(OR(I21&lt;&gt;"",J21&lt;&gt;""),K21&lt;&gt;"")," · ","")&amp;IF(K21&lt;&gt;"",K21,""),"")</f>
        <v/>
      </c>
      <c r="V21" s="31" t="str">
        <f aca="false">IF(L21&lt;&gt;"","💰 售价 RM "&amp;TEXT(L21,"#,##0"),"")</f>
        <v/>
      </c>
      <c r="W21" s="31" t="str">
        <f aca="false">IF(L21&lt;&gt;"","💰 Selling Price RM "&amp;TEXT(L21,"#,##0"),"")</f>
        <v/>
      </c>
      <c r="X21" s="31" t="str">
        <f aca="false">IF(L21&lt;&gt;"","💰 Harga Jualan RM "&amp;TEXT(L21,"#,##0"),"")</f>
        <v/>
      </c>
      <c r="Y21" s="33" t="str">
        <f aca="false">IF(D21&lt;&gt;"","您好！我想咨询购买：
🏠 "&amp;D21&amp;"
"&amp;IF(E21&lt;&gt;"","🛏 "&amp;E21&amp;"房"&amp;IF(F21&lt;&gt;""," "&amp;F21&amp;"卫","")&amp;"
","")&amp;IF(G21&lt;&gt;"","📐 "&amp;G21&amp;" sqft
","")&amp;IF(H21&lt;&gt;"","🏊 "&amp;H21&amp;"
","")&amp;IF(U21&lt;&gt;"",U21&amp;"
","")&amp;IF(L21&lt;&gt;"","💰 售价 RM "&amp;TEXT(L21,"#,##0")&amp;"
","")&amp;"
请问还有空档吗？谢谢！","")</f>
        <v/>
      </c>
      <c r="Z21" s="33" t="str">
        <f aca="false">IF(D21&lt;&gt;"","Hi! I'd like to make a purchase enquiry:
🏠 "&amp;P21&amp;"
"&amp;IF(E21&lt;&gt;"","🛏 "&amp;E21&amp;"BR"&amp;IF(F21&lt;&gt;""," "&amp;F21&amp;"BA","")&amp;"
","")&amp;IF(G21&lt;&gt;"","📐 "&amp;G21&amp;" sqft
","")&amp;IF(H21&lt;&gt;"","🏊 "&amp;SUBSTITUTE(SUBSTITUTE(SUBSTITUTE(SUBSTITUTE(SUBSTITUTE(SUBSTITUTE(SUBSTITUTE(SUBSTITUTE(SUBSTITUTE(SUBSTITUTE(H21,"游泳池","Swimming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","")&amp;IF(L21&lt;&gt;"","💰 Selling Price RM "&amp;TEXT(L21,"#,##0")&amp;"
","")&amp;"
Is this still available? Thank you!","")</f>
        <v/>
      </c>
      <c r="AA21" s="31"/>
      <c r="AB21" s="33" t="str">
        <f aca="false">IF(D21&lt;&gt;"","Helo! Saya ingin membuat pertanyaan pembelian:
🏠 "&amp;Q21&amp;"
"&amp;IF(E21&lt;&gt;"","🛏 "&amp;E21&amp;"Bilik"&amp;IF(F21&lt;&gt;""," "&amp;F21&amp;"Bilik Air","")&amp;"
","")&amp;IF(G21&lt;&gt;"","📐 "&amp;G21&amp;" sqft
","")&amp;IF(H21&lt;&gt;"","🏊 "&amp;SUBSTITUTE(SUBSTITUTE(SUBSTITUTE(SUBSTITUTE(SUBSTITUTE(SUBSTITUTE(SUBSTITUTE(SUBSTITUTE(SUBSTITUTE(SUBSTITUTE(H21,"游泳池","Kolam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","")&amp;IF(L21&lt;&gt;"","💰 Harga Jualan RM "&amp;TEXT(L21,"#,##0")&amp;"
","")&amp;"
Adakah masih tersedia? Terima kasih!","")</f>
        <v/>
      </c>
    </row>
    <row r="22" customFormat="false" ht="5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9"/>
      <c r="J22" s="29"/>
      <c r="K22" s="29"/>
      <c r="L22" s="28"/>
      <c r="M22" s="30"/>
      <c r="N22" s="31" t="str">
        <f aca="false">IFERROR(ifs(B22="🏢 Condo 公寓","fa-building",B22="🏠 Apartment 单位","fa-home",B22="🌿 即租即住","fa-home",B22="🌿 近国际学校","fa-school",B22="📌 商业旺铺","fa-store",B22="🌟 海景豪宅","fa-water-ladder",B22="📈 投资优选","fa-chart-line",B22="🏞️ 花园住宅","fa-tree",B22="🌟 2026全新地标","fa-drafting-compass",B22="📈 海外投资优选","fa-globe",B22="🌆 核心地段","fa-city",B22="🔥 限时优惠","fa-fire",B22="✅ 永久产权","fa-certificate",B22="🏅 高回报","fa-medal",B22="🏖️ 度假胜地","fa-umbrella-beach",B22="🏫 学区优选","fa-graduation-cap",B22="🛣️ 交通便利","fa-road",B22="🔑 即买即住","fa-key"),"fa-home")</f>
        <v>fa-home</v>
      </c>
      <c r="O22" s="31" t="str">
        <f aca="false">IF(D22&lt;&gt;"",D22,"")</f>
        <v/>
      </c>
      <c r="P22" s="31" t="str">
        <f aca="false">IF(D22&lt;&gt;"",SUBSTITUTE(SUBSTITUTE(SUBSTITUTE(SUBSTITUTE(SUBSTITUTE(SUBSTITUTE(SUBSTITUTE(SUBSTITUTE(SUBSTITUTE(SUBSTITUTE(D22,"亚庇","Kota Kinabalu"),"公寓","Condo"),"排屋","Terrace"),"别墅","Villa"),"店铺","Shop"),"新山","Johor Bahru"),"市中心","City Centre"),"高级","Premium"),"单位","Unit"),"住宅","Residence"),"")</f>
        <v/>
      </c>
      <c r="Q22" s="31" t="str">
        <f aca="false">IF(D22&lt;&gt;"",SUBSTITUTE(SUBSTITUTE(SUBSTITUTE(SUBSTITUTE(SUBSTITUTE(SUBSTITUTE(SUBSTITUTE(SUBSTITUTE(SUBSTITUTE(SUBSTITUTE(D22,"亚庇","Kota Kinabalu"),"公寓","Kondominium"),"排屋","Rumah Teres"),"别墅","Vila"),"店铺","Kedai"),"新山","Johor Bahru"),"市中心","Pusat Bandar"),"高级","Premium"),"单位","Unit"),"住宅","Kediaman"),"")</f>
        <v/>
      </c>
      <c r="R22" s="31" t="str">
        <f aca="false">IF(D22&lt;&gt;"","📍 "&amp;IF(E22&lt;&gt;"",E22&amp;"房","")&amp;IF(F22&lt;&gt;"",F22&amp;"卫 ","")&amp;IF(G22&lt;&gt;"",G22&amp;" sqft","")&amp;IF(AND(OR(E22&lt;&gt;"",G22&lt;&gt;""),H22&lt;&gt;"")," · ","")&amp;IF(H22&lt;&gt;"",H22,""),"")</f>
        <v/>
      </c>
      <c r="S22" s="31" t="str">
        <f aca="false">IF(D22&lt;&gt;"","📍 "&amp;IF(E22&lt;&gt;"",E22&amp;"BR ","")&amp;IF(F22&lt;&gt;"",F22&amp;"BA ","")&amp;IF(G22&lt;&gt;"",G22&amp;" sqft","")&amp;IF(AND(OR(E22&lt;&gt;"",G22&lt;&gt;""),H22&lt;&gt;"")," · ","")&amp;IF(H22&lt;&gt;"",SUBSTITUTE(SUBSTITUTE(SUBSTITUTE(SUBSTITUTE(SUBSTITUTE(SUBSTITUTE(SUBSTITUTE(SUBSTITUTE(SUBSTITUTE(SUBSTITUTE(H22,"游泳池","Swimming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2" s="31" t="str">
        <f aca="false">IF(D22&lt;&gt;"","📍 "&amp;IF(E22&lt;&gt;"",E22&amp;"Bilik ","")&amp;IF(F22&lt;&gt;"",F22&amp;"Bilik Air ","")&amp;IF(G22&lt;&gt;"",G22&amp;" sqft","")&amp;IF(AND(OR(E22&lt;&gt;"",G22&lt;&gt;""),H22&lt;&gt;"")," · ","")&amp;IF(H22&lt;&gt;"",SUBSTITUTE(SUBSTITUTE(SUBSTITUTE(SUBSTITUTE(SUBSTITUTE(SUBSTITUTE(SUBSTITUTE(SUBSTITUTE(SUBSTITUTE(SUBSTITUTE(H22,"游泳池","Kolam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2" s="32" t="str">
        <f aca="false">IF(OR(I22&lt;&gt;"",J22&lt;&gt;"",K22&lt;&gt;""),"🔒 "&amp;IF(I22&lt;&gt;"",I22,"")&amp;IF(AND(I22&lt;&gt;"",J22&lt;&gt;"")," · ","")&amp;IF(J22&lt;&gt;"",J22,"")&amp;IF(AND(OR(I22&lt;&gt;"",J22&lt;&gt;""),K22&lt;&gt;"")," · ","")&amp;IF(K22&lt;&gt;"",K22,""),"")</f>
        <v/>
      </c>
      <c r="V22" s="31" t="str">
        <f aca="false">IF(L22&lt;&gt;"","💰 售价 RM "&amp;TEXT(L22,"#,##0"),"")</f>
        <v/>
      </c>
      <c r="W22" s="31" t="str">
        <f aca="false">IF(L22&lt;&gt;"","💰 Selling Price RM "&amp;TEXT(L22,"#,##0"),"")</f>
        <v/>
      </c>
      <c r="X22" s="31" t="str">
        <f aca="false">IF(L22&lt;&gt;"","💰 Harga Jualan RM "&amp;TEXT(L22,"#,##0"),"")</f>
        <v/>
      </c>
      <c r="Y22" s="33" t="str">
        <f aca="false">IF(D22&lt;&gt;"","您好！我想咨询购买：
🏠 "&amp;D22&amp;"
"&amp;IF(E22&lt;&gt;"","🛏 "&amp;E22&amp;"房"&amp;IF(F22&lt;&gt;""," "&amp;F22&amp;"卫","")&amp;"
","")&amp;IF(G22&lt;&gt;"","📐 "&amp;G22&amp;" sqft
","")&amp;IF(H22&lt;&gt;"","🏊 "&amp;H22&amp;"
","")&amp;IF(U22&lt;&gt;"",U22&amp;"
","")&amp;IF(L22&lt;&gt;"","💰 售价 RM "&amp;TEXT(L22,"#,##0")&amp;"
","")&amp;"
请问还有空档吗？谢谢！","")</f>
        <v/>
      </c>
      <c r="Z22" s="33" t="str">
        <f aca="false">IF(D22&lt;&gt;"","Hi! I'd like to make a purchase enquiry:
🏠 "&amp;P22&amp;"
"&amp;IF(E22&lt;&gt;"","🛏 "&amp;E22&amp;"BR"&amp;IF(F22&lt;&gt;""," "&amp;F22&amp;"BA","")&amp;"
","")&amp;IF(G22&lt;&gt;"","📐 "&amp;G22&amp;" sqft
","")&amp;IF(H22&lt;&gt;"","🏊 "&amp;SUBSTITUTE(SUBSTITUTE(SUBSTITUTE(SUBSTITUTE(SUBSTITUTE(SUBSTITUTE(SUBSTITUTE(SUBSTITUTE(SUBSTITUTE(SUBSTITUTE(H22,"游泳池","Swimming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","")&amp;IF(L22&lt;&gt;"","💰 Selling Price RM "&amp;TEXT(L22,"#,##0")&amp;"
","")&amp;"
Is this still available? Thank you!","")</f>
        <v/>
      </c>
      <c r="AA22" s="31"/>
      <c r="AB22" s="33" t="str">
        <f aca="false">IF(D22&lt;&gt;"","Helo! Saya ingin membuat pertanyaan pembelian:
🏠 "&amp;Q22&amp;"
"&amp;IF(E22&lt;&gt;"","🛏 "&amp;E22&amp;"Bilik"&amp;IF(F22&lt;&gt;""," "&amp;F22&amp;"Bilik Air","")&amp;"
","")&amp;IF(G22&lt;&gt;"","📐 "&amp;G22&amp;" sqft
","")&amp;IF(H22&lt;&gt;"","🏊 "&amp;SUBSTITUTE(SUBSTITUTE(SUBSTITUTE(SUBSTITUTE(SUBSTITUTE(SUBSTITUTE(SUBSTITUTE(SUBSTITUTE(SUBSTITUTE(SUBSTITUTE(H22,"游泳池","Kolam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","")&amp;IF(L22&lt;&gt;"","💰 Harga Jualan RM "&amp;TEXT(L22,"#,##0")&amp;"
","")&amp;"
Adakah masih tersedia? Terima kasih!","")</f>
        <v/>
      </c>
    </row>
    <row r="23" customFormat="false" ht="51.7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9"/>
      <c r="J23" s="29"/>
      <c r="K23" s="29"/>
      <c r="L23" s="28"/>
      <c r="M23" s="30"/>
      <c r="N23" s="31" t="str">
        <f aca="false">IFERROR(ifs(B23="🏢 Condo 公寓","fa-building",B23="🏠 Apartment 单位","fa-home",B23="🌿 即租即住","fa-home",B23="🌿 近国际学校","fa-school",B23="📌 商业旺铺","fa-store",B23="🌟 海景豪宅","fa-water-ladder",B23="📈 投资优选","fa-chart-line",B23="🏞️ 花园住宅","fa-tree",B23="🌟 2026全新地标","fa-drafting-compass",B23="📈 海外投资优选","fa-globe",B23="🌆 核心地段","fa-city",B23="🔥 限时优惠","fa-fire",B23="✅ 永久产权","fa-certificate",B23="🏅 高回报","fa-medal",B23="🏖️ 度假胜地","fa-umbrella-beach",B23="🏫 学区优选","fa-graduation-cap",B23="🛣️ 交通便利","fa-road",B23="🔑 即买即住","fa-key"),"fa-home")</f>
        <v>fa-home</v>
      </c>
      <c r="O23" s="31" t="str">
        <f aca="false">IF(D23&lt;&gt;"",D23,"")</f>
        <v/>
      </c>
      <c r="P23" s="31" t="str">
        <f aca="false">IF(D23&lt;&gt;"",SUBSTITUTE(SUBSTITUTE(SUBSTITUTE(SUBSTITUTE(SUBSTITUTE(SUBSTITUTE(SUBSTITUTE(SUBSTITUTE(SUBSTITUTE(SUBSTITUTE(D23,"亚庇","Kota Kinabalu"),"公寓","Condo"),"排屋","Terrace"),"别墅","Villa"),"店铺","Shop"),"新山","Johor Bahru"),"市中心","City Centre"),"高级","Premium"),"单位","Unit"),"住宅","Residence"),"")</f>
        <v/>
      </c>
      <c r="Q23" s="31" t="str">
        <f aca="false">IF(D23&lt;&gt;"",SUBSTITUTE(SUBSTITUTE(SUBSTITUTE(SUBSTITUTE(SUBSTITUTE(SUBSTITUTE(SUBSTITUTE(SUBSTITUTE(SUBSTITUTE(SUBSTITUTE(D23,"亚庇","Kota Kinabalu"),"公寓","Kondominium"),"排屋","Rumah Teres"),"别墅","Vila"),"店铺","Kedai"),"新山","Johor Bahru"),"市中心","Pusat Bandar"),"高级","Premium"),"单位","Unit"),"住宅","Kediaman"),"")</f>
        <v/>
      </c>
      <c r="R23" s="31" t="str">
        <f aca="false">IF(D23&lt;&gt;"","📍 "&amp;IF(E23&lt;&gt;"",E23&amp;"房","")&amp;IF(F23&lt;&gt;"",F23&amp;"卫 ","")&amp;IF(G23&lt;&gt;"",G23&amp;" sqft","")&amp;IF(AND(OR(E23&lt;&gt;"",G23&lt;&gt;""),H23&lt;&gt;"")," · ","")&amp;IF(H23&lt;&gt;"",H23,""),"")</f>
        <v/>
      </c>
      <c r="S23" s="31" t="str">
        <f aca="false">IF(D23&lt;&gt;"","📍 "&amp;IF(E23&lt;&gt;"",E23&amp;"BR ","")&amp;IF(F23&lt;&gt;"",F23&amp;"BA ","")&amp;IF(G23&lt;&gt;"",G23&amp;" sqft","")&amp;IF(AND(OR(E23&lt;&gt;"",G23&lt;&gt;""),H23&lt;&gt;"")," · ","")&amp;IF(H23&lt;&gt;"",SUBSTITUTE(SUBSTITUTE(SUBSTITUTE(SUBSTITUTE(SUBSTITUTE(SUBSTITUTE(SUBSTITUTE(SUBSTITUTE(SUBSTITUTE(SUBSTITUTE(H23,"游泳池","Swimming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3" s="31" t="str">
        <f aca="false">IF(D23&lt;&gt;"","📍 "&amp;IF(E23&lt;&gt;"",E23&amp;"Bilik ","")&amp;IF(F23&lt;&gt;"",F23&amp;"Bilik Air ","")&amp;IF(G23&lt;&gt;"",G23&amp;" sqft","")&amp;IF(AND(OR(E23&lt;&gt;"",G23&lt;&gt;""),H23&lt;&gt;"")," · ","")&amp;IF(H23&lt;&gt;"",SUBSTITUTE(SUBSTITUTE(SUBSTITUTE(SUBSTITUTE(SUBSTITUTE(SUBSTITUTE(SUBSTITUTE(SUBSTITUTE(SUBSTITUTE(SUBSTITUTE(H23,"游泳池","Kolam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3" s="32" t="str">
        <f aca="false">IF(OR(I23&lt;&gt;"",J23&lt;&gt;"",K23&lt;&gt;""),"🔒 "&amp;IF(I23&lt;&gt;"",I23,"")&amp;IF(AND(I23&lt;&gt;"",J23&lt;&gt;"")," · ","")&amp;IF(J23&lt;&gt;"",J23,"")&amp;IF(AND(OR(I23&lt;&gt;"",J23&lt;&gt;""),K23&lt;&gt;"")," · ","")&amp;IF(K23&lt;&gt;"",K23,""),"")</f>
        <v/>
      </c>
      <c r="V23" s="31" t="str">
        <f aca="false">IF(L23&lt;&gt;"","💰 售价 RM "&amp;TEXT(L23,"#,##0"),"")</f>
        <v/>
      </c>
      <c r="W23" s="31" t="str">
        <f aca="false">IF(L23&lt;&gt;"","💰 Selling Price RM "&amp;TEXT(L23,"#,##0"),"")</f>
        <v/>
      </c>
      <c r="X23" s="31" t="str">
        <f aca="false">IF(L23&lt;&gt;"","💰 Harga Jualan RM "&amp;TEXT(L23,"#,##0"),"")</f>
        <v/>
      </c>
      <c r="Y23" s="33" t="str">
        <f aca="false">IF(D23&lt;&gt;"","您好！我想咨询购买：
🏠 "&amp;D23&amp;"
"&amp;IF(E23&lt;&gt;"","🛏 "&amp;E23&amp;"房"&amp;IF(F23&lt;&gt;""," "&amp;F23&amp;"卫","")&amp;"
","")&amp;IF(G23&lt;&gt;"","📐 "&amp;G23&amp;" sqft
","")&amp;IF(H23&lt;&gt;"","🏊 "&amp;H23&amp;"
","")&amp;IF(U23&lt;&gt;"",U23&amp;"
","")&amp;IF(L23&lt;&gt;"","💰 售价 RM "&amp;TEXT(L23,"#,##0")&amp;"
","")&amp;"
请问还有空档吗？谢谢！","")</f>
        <v/>
      </c>
      <c r="Z23" s="33" t="str">
        <f aca="false">IF(D23&lt;&gt;"","Hi! I'd like to make a purchase enquiry:
🏠 "&amp;P23&amp;"
"&amp;IF(E23&lt;&gt;"","🛏 "&amp;E23&amp;"BR"&amp;IF(F23&lt;&gt;""," "&amp;F23&amp;"BA","")&amp;"
","")&amp;IF(G23&lt;&gt;"","📐 "&amp;G23&amp;" sqft
","")&amp;IF(H23&lt;&gt;"","🏊 "&amp;SUBSTITUTE(SUBSTITUTE(SUBSTITUTE(SUBSTITUTE(SUBSTITUTE(SUBSTITUTE(SUBSTITUTE(SUBSTITUTE(SUBSTITUTE(SUBSTITUTE(H23,"游泳池","Swimming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","")&amp;IF(L23&lt;&gt;"","💰 Selling Price RM "&amp;TEXT(L23,"#,##0")&amp;"
","")&amp;"
Is this still available? Thank you!","")</f>
        <v/>
      </c>
      <c r="AA23" s="31"/>
      <c r="AB23" s="33" t="str">
        <f aca="false">IF(D23&lt;&gt;"","Helo! Saya ingin membuat pertanyaan pembelian:
🏠 "&amp;Q23&amp;"
"&amp;IF(E23&lt;&gt;"","🛏 "&amp;E23&amp;"Bilik"&amp;IF(F23&lt;&gt;""," "&amp;F23&amp;"Bilik Air","")&amp;"
","")&amp;IF(G23&lt;&gt;"","📐 "&amp;G23&amp;" sqft
","")&amp;IF(H23&lt;&gt;"","🏊 "&amp;SUBSTITUTE(SUBSTITUTE(SUBSTITUTE(SUBSTITUTE(SUBSTITUTE(SUBSTITUTE(SUBSTITUTE(SUBSTITUTE(SUBSTITUTE(SUBSTITUTE(H23,"游泳池","Kolam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","")&amp;IF(L23&lt;&gt;"","💰 Harga Jualan RM "&amp;TEXT(L23,"#,##0")&amp;"
","")&amp;"
Adakah masih tersedia? Terima kasih!","")</f>
        <v/>
      </c>
    </row>
    <row r="24" customFormat="false" ht="5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9"/>
      <c r="J24" s="29"/>
      <c r="K24" s="29"/>
      <c r="L24" s="28"/>
      <c r="M24" s="30"/>
      <c r="N24" s="31" t="str">
        <f aca="false">IFERROR(ifs(B24="🏢 Condo 公寓","fa-building",B24="🏠 Apartment 单位","fa-home",B24="🌿 即租即住","fa-home",B24="🌿 近国际学校","fa-school",B24="📌 商业旺铺","fa-store",B24="🌟 海景豪宅","fa-water-ladder",B24="📈 投资优选","fa-chart-line",B24="🏞️ 花园住宅","fa-tree",B24="🌟 2026全新地标","fa-drafting-compass",B24="📈 海外投资优选","fa-globe",B24="🌆 核心地段","fa-city",B24="🔥 限时优惠","fa-fire",B24="✅ 永久产权","fa-certificate",B24="🏅 高回报","fa-medal",B24="🏖️ 度假胜地","fa-umbrella-beach",B24="🏫 学区优选","fa-graduation-cap",B24="🛣️ 交通便利","fa-road",B24="🔑 即买即住","fa-key"),"fa-home")</f>
        <v>fa-home</v>
      </c>
      <c r="O24" s="31" t="str">
        <f aca="false">IF(D24&lt;&gt;"",D24,"")</f>
        <v/>
      </c>
      <c r="P24" s="31" t="str">
        <f aca="false">IF(D24&lt;&gt;"",SUBSTITUTE(SUBSTITUTE(SUBSTITUTE(SUBSTITUTE(SUBSTITUTE(SUBSTITUTE(SUBSTITUTE(SUBSTITUTE(SUBSTITUTE(SUBSTITUTE(D24,"亚庇","Kota Kinabalu"),"公寓","Condo"),"排屋","Terrace"),"别墅","Villa"),"店铺","Shop"),"新山","Johor Bahru"),"市中心","City Centre"),"高级","Premium"),"单位","Unit"),"住宅","Residence"),"")</f>
        <v/>
      </c>
      <c r="Q24" s="31" t="str">
        <f aca="false">IF(D24&lt;&gt;"",SUBSTITUTE(SUBSTITUTE(SUBSTITUTE(SUBSTITUTE(SUBSTITUTE(SUBSTITUTE(SUBSTITUTE(SUBSTITUTE(SUBSTITUTE(SUBSTITUTE(D24,"亚庇","Kota Kinabalu"),"公寓","Kondominium"),"排屋","Rumah Teres"),"别墅","Vila"),"店铺","Kedai"),"新山","Johor Bahru"),"市中心","Pusat Bandar"),"高级","Premium"),"单位","Unit"),"住宅","Kediaman"),"")</f>
        <v/>
      </c>
      <c r="R24" s="31" t="str">
        <f aca="false">IF(D24&lt;&gt;"","📍 "&amp;IF(E24&lt;&gt;"",E24&amp;"房","")&amp;IF(F24&lt;&gt;"",F24&amp;"卫 ","")&amp;IF(G24&lt;&gt;"",G24&amp;" sqft","")&amp;IF(AND(OR(E24&lt;&gt;"",G24&lt;&gt;""),H24&lt;&gt;"")," · ","")&amp;IF(H24&lt;&gt;"",H24,""),"")</f>
        <v/>
      </c>
      <c r="S24" s="31" t="str">
        <f aca="false">IF(D24&lt;&gt;"","📍 "&amp;IF(E24&lt;&gt;"",E24&amp;"BR ","")&amp;IF(F24&lt;&gt;"",F24&amp;"BA ","")&amp;IF(G24&lt;&gt;"",G24&amp;" sqft","")&amp;IF(AND(OR(E24&lt;&gt;"",G24&lt;&gt;""),H24&lt;&gt;"")," · ","")&amp;IF(H24&lt;&gt;"",SUBSTITUTE(SUBSTITUTE(SUBSTITUTE(SUBSTITUTE(SUBSTITUTE(SUBSTITUTE(SUBSTITUTE(SUBSTITUTE(SUBSTITUTE(SUBSTITUTE(H24,"游泳池","Swimming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4" s="31" t="str">
        <f aca="false">IF(D24&lt;&gt;"","📍 "&amp;IF(E24&lt;&gt;"",E24&amp;"Bilik ","")&amp;IF(F24&lt;&gt;"",F24&amp;"Bilik Air ","")&amp;IF(G24&lt;&gt;"",G24&amp;" sqft","")&amp;IF(AND(OR(E24&lt;&gt;"",G24&lt;&gt;""),H24&lt;&gt;"")," · ","")&amp;IF(H24&lt;&gt;"",SUBSTITUTE(SUBSTITUTE(SUBSTITUTE(SUBSTITUTE(SUBSTITUTE(SUBSTITUTE(SUBSTITUTE(SUBSTITUTE(SUBSTITUTE(SUBSTITUTE(H24,"游泳池","Kolam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4" s="32" t="str">
        <f aca="false">IF(OR(I24&lt;&gt;"",J24&lt;&gt;"",K24&lt;&gt;""),"🔒 "&amp;IF(I24&lt;&gt;"",I24,"")&amp;IF(AND(I24&lt;&gt;"",J24&lt;&gt;"")," · ","")&amp;IF(J24&lt;&gt;"",J24,"")&amp;IF(AND(OR(I24&lt;&gt;"",J24&lt;&gt;""),K24&lt;&gt;"")," · ","")&amp;IF(K24&lt;&gt;"",K24,""),"")</f>
        <v/>
      </c>
      <c r="V24" s="31" t="str">
        <f aca="false">IF(L24&lt;&gt;"","💰 售价 RM "&amp;TEXT(L24,"#,##0"),"")</f>
        <v/>
      </c>
      <c r="W24" s="31" t="str">
        <f aca="false">IF(L24&lt;&gt;"","💰 Selling Price RM "&amp;TEXT(L24,"#,##0"),"")</f>
        <v/>
      </c>
      <c r="X24" s="31" t="str">
        <f aca="false">IF(L24&lt;&gt;"","💰 Harga Jualan RM "&amp;TEXT(L24,"#,##0"),"")</f>
        <v/>
      </c>
      <c r="Y24" s="33" t="str">
        <f aca="false">IF(D24&lt;&gt;"","您好！我想咨询购买：
🏠 "&amp;D24&amp;"
"&amp;IF(E24&lt;&gt;"","🛏 "&amp;E24&amp;"房"&amp;IF(F24&lt;&gt;""," "&amp;F24&amp;"卫","")&amp;"
","")&amp;IF(G24&lt;&gt;"","📐 "&amp;G24&amp;" sqft
","")&amp;IF(H24&lt;&gt;"","🏊 "&amp;H24&amp;"
","")&amp;IF(U24&lt;&gt;"",U24&amp;"
","")&amp;IF(L24&lt;&gt;"","💰 售价 RM "&amp;TEXT(L24,"#,##0")&amp;"
","")&amp;"
请问还有空档吗？谢谢！","")</f>
        <v/>
      </c>
      <c r="Z24" s="33" t="str">
        <f aca="false">IF(D24&lt;&gt;"","Hi! I'd like to make a purchase enquiry:
🏠 "&amp;P24&amp;"
"&amp;IF(E24&lt;&gt;"","🛏 "&amp;E24&amp;"BR"&amp;IF(F24&lt;&gt;""," "&amp;F24&amp;"BA","")&amp;"
","")&amp;IF(G24&lt;&gt;"","📐 "&amp;G24&amp;" sqft
","")&amp;IF(H24&lt;&gt;"","🏊 "&amp;SUBSTITUTE(SUBSTITUTE(SUBSTITUTE(SUBSTITUTE(SUBSTITUTE(SUBSTITUTE(SUBSTITUTE(SUBSTITUTE(SUBSTITUTE(SUBSTITUTE(H24,"游泳池","Swimming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","")&amp;IF(L24&lt;&gt;"","💰 Selling Price RM "&amp;TEXT(L24,"#,##0")&amp;"
","")&amp;"
Is this still available? Thank you!","")</f>
        <v/>
      </c>
      <c r="AA24" s="31"/>
      <c r="AB24" s="33" t="str">
        <f aca="false">IF(D24&lt;&gt;"","Helo! Saya ingin membuat pertanyaan pembelian:
🏠 "&amp;Q24&amp;"
"&amp;IF(E24&lt;&gt;"","🛏 "&amp;E24&amp;"Bilik"&amp;IF(F24&lt;&gt;""," "&amp;F24&amp;"Bilik Air","")&amp;"
","")&amp;IF(G24&lt;&gt;"","📐 "&amp;G24&amp;" sqft
","")&amp;IF(H24&lt;&gt;"","🏊 "&amp;SUBSTITUTE(SUBSTITUTE(SUBSTITUTE(SUBSTITUTE(SUBSTITUTE(SUBSTITUTE(SUBSTITUTE(SUBSTITUTE(SUBSTITUTE(SUBSTITUTE(H24,"游泳池","Kolam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","")&amp;IF(L24&lt;&gt;"","💰 Harga Jualan RM "&amp;TEXT(L24,"#,##0")&amp;"
","")&amp;"
Adakah masih tersedia? Terima kasih!","")</f>
        <v/>
      </c>
    </row>
    <row r="25" customFormat="false" ht="51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9"/>
      <c r="J25" s="29"/>
      <c r="K25" s="29"/>
      <c r="L25" s="28"/>
      <c r="M25" s="30"/>
      <c r="N25" s="31" t="str">
        <f aca="false">IFERROR(ifs(B25="🏢 Condo 公寓","fa-building",B25="🏠 Apartment 单位","fa-home",B25="🌿 即租即住","fa-home",B25="🌿 近国际学校","fa-school",B25="📌 商业旺铺","fa-store",B25="🌟 海景豪宅","fa-water-ladder",B25="📈 投资优选","fa-chart-line",B25="🏞️ 花园住宅","fa-tree",B25="🌟 2026全新地标","fa-drafting-compass",B25="📈 海外投资优选","fa-globe",B25="🌆 核心地段","fa-city",B25="🔥 限时优惠","fa-fire",B25="✅ 永久产权","fa-certificate",B25="🏅 高回报","fa-medal",B25="🏖️ 度假胜地","fa-umbrella-beach",B25="🏫 学区优选","fa-graduation-cap",B25="🛣️ 交通便利","fa-road",B25="🔑 即买即住","fa-key"),"fa-home")</f>
        <v>fa-home</v>
      </c>
      <c r="O25" s="31" t="str">
        <f aca="false">IF(D25&lt;&gt;"",D25,"")</f>
        <v/>
      </c>
      <c r="P25" s="31" t="str">
        <f aca="false">IF(D25&lt;&gt;"",SUBSTITUTE(SUBSTITUTE(SUBSTITUTE(SUBSTITUTE(SUBSTITUTE(SUBSTITUTE(SUBSTITUTE(SUBSTITUTE(SUBSTITUTE(SUBSTITUTE(D25,"亚庇","Kota Kinabalu"),"公寓","Condo"),"排屋","Terrace"),"别墅","Villa"),"店铺","Shop"),"新山","Johor Bahru"),"市中心","City Centre"),"高级","Premium"),"单位","Unit"),"住宅","Residence"),"")</f>
        <v/>
      </c>
      <c r="Q25" s="31" t="str">
        <f aca="false">IF(D25&lt;&gt;"",SUBSTITUTE(SUBSTITUTE(SUBSTITUTE(SUBSTITUTE(SUBSTITUTE(SUBSTITUTE(SUBSTITUTE(SUBSTITUTE(SUBSTITUTE(SUBSTITUTE(D25,"亚庇","Kota Kinabalu"),"公寓","Kondominium"),"排屋","Rumah Teres"),"别墅","Vila"),"店铺","Kedai"),"新山","Johor Bahru"),"市中心","Pusat Bandar"),"高级","Premium"),"单位","Unit"),"住宅","Kediaman"),"")</f>
        <v/>
      </c>
      <c r="R25" s="31" t="str">
        <f aca="false">IF(D25&lt;&gt;"","📍 "&amp;IF(E25&lt;&gt;"",E25&amp;"房","")&amp;IF(F25&lt;&gt;"",F25&amp;"卫 ","")&amp;IF(G25&lt;&gt;"",G25&amp;" sqft","")&amp;IF(AND(OR(E25&lt;&gt;"",G25&lt;&gt;""),H25&lt;&gt;"")," · ","")&amp;IF(H25&lt;&gt;"",H25,""),"")</f>
        <v/>
      </c>
      <c r="S25" s="31" t="str">
        <f aca="false">IF(D25&lt;&gt;"","📍 "&amp;IF(E25&lt;&gt;"",E25&amp;"BR ","")&amp;IF(F25&lt;&gt;"",F25&amp;"BA ","")&amp;IF(G25&lt;&gt;"",G25&amp;" sqft","")&amp;IF(AND(OR(E25&lt;&gt;"",G25&lt;&gt;""),H25&lt;&gt;"")," · ","")&amp;IF(H25&lt;&gt;"",SUBSTITUTE(SUBSTITUTE(SUBSTITUTE(SUBSTITUTE(SUBSTITUTE(SUBSTITUTE(SUBSTITUTE(SUBSTITUTE(SUBSTITUTE(SUBSTITUTE(H25,"游泳池","Swimming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5" s="31" t="str">
        <f aca="false">IF(D25&lt;&gt;"","📍 "&amp;IF(E25&lt;&gt;"",E25&amp;"Bilik ","")&amp;IF(F25&lt;&gt;"",F25&amp;"Bilik Air ","")&amp;IF(G25&lt;&gt;"",G25&amp;" sqft","")&amp;IF(AND(OR(E25&lt;&gt;"",G25&lt;&gt;""),H25&lt;&gt;"")," · ","")&amp;IF(H25&lt;&gt;"",SUBSTITUTE(SUBSTITUTE(SUBSTITUTE(SUBSTITUTE(SUBSTITUTE(SUBSTITUTE(SUBSTITUTE(SUBSTITUTE(SUBSTITUTE(SUBSTITUTE(H25,"游泳池","Kolam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5" s="32" t="str">
        <f aca="false">IF(OR(I25&lt;&gt;"",J25&lt;&gt;"",K25&lt;&gt;""),"🔒 "&amp;IF(I25&lt;&gt;"",I25,"")&amp;IF(AND(I25&lt;&gt;"",J25&lt;&gt;"")," · ","")&amp;IF(J25&lt;&gt;"",J25,"")&amp;IF(AND(OR(I25&lt;&gt;"",J25&lt;&gt;""),K25&lt;&gt;"")," · ","")&amp;IF(K25&lt;&gt;"",K25,""),"")</f>
        <v/>
      </c>
      <c r="V25" s="31" t="str">
        <f aca="false">IF(L25&lt;&gt;"","💰 售价 RM "&amp;TEXT(L25,"#,##0"),"")</f>
        <v/>
      </c>
      <c r="W25" s="31" t="str">
        <f aca="false">IF(L25&lt;&gt;"","💰 Selling Price RM "&amp;TEXT(L25,"#,##0"),"")</f>
        <v/>
      </c>
      <c r="X25" s="31" t="str">
        <f aca="false">IF(L25&lt;&gt;"","💰 Harga Jualan RM "&amp;TEXT(L25,"#,##0"),"")</f>
        <v/>
      </c>
      <c r="Y25" s="33" t="str">
        <f aca="false">IF(D25&lt;&gt;"","您好！我想咨询购买：
🏠 "&amp;D25&amp;"
"&amp;IF(E25&lt;&gt;"","🛏 "&amp;E25&amp;"房"&amp;IF(F25&lt;&gt;""," "&amp;F25&amp;"卫","")&amp;"
","")&amp;IF(G25&lt;&gt;"","📐 "&amp;G25&amp;" sqft
","")&amp;IF(H25&lt;&gt;"","🏊 "&amp;H25&amp;"
","")&amp;IF(U25&lt;&gt;"",U25&amp;"
","")&amp;IF(L25&lt;&gt;"","💰 售价 RM "&amp;TEXT(L25,"#,##0")&amp;"
","")&amp;"
请问还有空档吗？谢谢！","")</f>
        <v/>
      </c>
      <c r="Z25" s="33" t="str">
        <f aca="false">IF(D25&lt;&gt;"","Hi! I'd like to make a purchase enquiry:
🏠 "&amp;P25&amp;"
"&amp;IF(E25&lt;&gt;"","🛏 "&amp;E25&amp;"BR"&amp;IF(F25&lt;&gt;""," "&amp;F25&amp;"BA","")&amp;"
","")&amp;IF(G25&lt;&gt;"","📐 "&amp;G25&amp;" sqft
","")&amp;IF(H25&lt;&gt;"","🏊 "&amp;SUBSTITUTE(SUBSTITUTE(SUBSTITUTE(SUBSTITUTE(SUBSTITUTE(SUBSTITUTE(SUBSTITUTE(SUBSTITUTE(SUBSTITUTE(SUBSTITUTE(H25,"游泳池","Swimming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","")&amp;IF(L25&lt;&gt;"","💰 Selling Price RM "&amp;TEXT(L25,"#,##0")&amp;"
","")&amp;"
Is this still available? Thank you!","")</f>
        <v/>
      </c>
      <c r="AA25" s="31"/>
      <c r="AB25" s="33" t="str">
        <f aca="false">IF(D25&lt;&gt;"","Helo! Saya ingin membuat pertanyaan pembelian:
🏠 "&amp;Q25&amp;"
"&amp;IF(E25&lt;&gt;"","🛏 "&amp;E25&amp;"Bilik"&amp;IF(F25&lt;&gt;""," "&amp;F25&amp;"Bilik Air","")&amp;"
","")&amp;IF(G25&lt;&gt;"","📐 "&amp;G25&amp;" sqft
","")&amp;IF(H25&lt;&gt;"","🏊 "&amp;SUBSTITUTE(SUBSTITUTE(SUBSTITUTE(SUBSTITUTE(SUBSTITUTE(SUBSTITUTE(SUBSTITUTE(SUBSTITUTE(SUBSTITUTE(SUBSTITUTE(H25,"游泳池","Kolam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","")&amp;IF(L25&lt;&gt;"","💰 Harga Jualan RM "&amp;TEXT(L25,"#,##0")&amp;"
","")&amp;"
Adakah masih tersedia? Terima kasih!","")</f>
        <v/>
      </c>
    </row>
    <row r="26" customFormat="false" ht="5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9"/>
      <c r="J26" s="29"/>
      <c r="K26" s="29"/>
      <c r="L26" s="28"/>
      <c r="M26" s="30"/>
      <c r="N26" s="31" t="str">
        <f aca="false">IFERROR(ifs(B26="🏢 Condo 公寓","fa-building",B26="🏠 Apartment 单位","fa-home",B26="🌿 即租即住","fa-home",B26="🌿 近国际学校","fa-school",B26="📌 商业旺铺","fa-store",B26="🌟 海景豪宅","fa-water-ladder",B26="📈 投资优选","fa-chart-line",B26="🏞️ 花园住宅","fa-tree",B26="🌟 2026全新地标","fa-drafting-compass",B26="📈 海外投资优选","fa-globe",B26="🌆 核心地段","fa-city",B26="🔥 限时优惠","fa-fire",B26="✅ 永久产权","fa-certificate",B26="🏅 高回报","fa-medal",B26="🏖️ 度假胜地","fa-umbrella-beach",B26="🏫 学区优选","fa-graduation-cap",B26="🛣️ 交通便利","fa-road",B26="🔑 即买即住","fa-key"),"fa-home")</f>
        <v>fa-home</v>
      </c>
      <c r="O26" s="31" t="str">
        <f aca="false">IF(D26&lt;&gt;"",D26,"")</f>
        <v/>
      </c>
      <c r="P26" s="31" t="str">
        <f aca="false">IF(D26&lt;&gt;"",SUBSTITUTE(SUBSTITUTE(SUBSTITUTE(SUBSTITUTE(SUBSTITUTE(SUBSTITUTE(SUBSTITUTE(SUBSTITUTE(SUBSTITUTE(SUBSTITUTE(D26,"亚庇","Kota Kinabalu"),"公寓","Condo"),"排屋","Terrace"),"别墅","Villa"),"店铺","Shop"),"新山","Johor Bahru"),"市中心","City Centre"),"高级","Premium"),"单位","Unit"),"住宅","Residence"),"")</f>
        <v/>
      </c>
      <c r="Q26" s="31" t="str">
        <f aca="false">IF(D26&lt;&gt;"",SUBSTITUTE(SUBSTITUTE(SUBSTITUTE(SUBSTITUTE(SUBSTITUTE(SUBSTITUTE(SUBSTITUTE(SUBSTITUTE(SUBSTITUTE(SUBSTITUTE(D26,"亚庇","Kota Kinabalu"),"公寓","Kondominium"),"排屋","Rumah Teres"),"别墅","Vila"),"店铺","Kedai"),"新山","Johor Bahru"),"市中心","Pusat Bandar"),"高级","Premium"),"单位","Unit"),"住宅","Kediaman"),"")</f>
        <v/>
      </c>
      <c r="R26" s="31" t="str">
        <f aca="false">IF(D26&lt;&gt;"","📍 "&amp;IF(E26&lt;&gt;"",E26&amp;"房","")&amp;IF(F26&lt;&gt;"",F26&amp;"卫 ","")&amp;IF(G26&lt;&gt;"",G26&amp;" sqft","")&amp;IF(AND(OR(E26&lt;&gt;"",G26&lt;&gt;""),H26&lt;&gt;"")," · ","")&amp;IF(H26&lt;&gt;"",H26,""),"")</f>
        <v/>
      </c>
      <c r="S26" s="31" t="str">
        <f aca="false">IF(D26&lt;&gt;"","📍 "&amp;IF(E26&lt;&gt;"",E26&amp;"BR ","")&amp;IF(F26&lt;&gt;"",F26&amp;"BA ","")&amp;IF(G26&lt;&gt;"",G26&amp;" sqft","")&amp;IF(AND(OR(E26&lt;&gt;"",G26&lt;&gt;""),H26&lt;&gt;"")," · ","")&amp;IF(H26&lt;&gt;"",SUBSTITUTE(SUBSTITUTE(SUBSTITUTE(SUBSTITUTE(SUBSTITUTE(SUBSTITUTE(SUBSTITUTE(SUBSTITUTE(SUBSTITUTE(SUBSTITUTE(H26,"游泳池","Swimming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6" s="31" t="str">
        <f aca="false">IF(D26&lt;&gt;"","📍 "&amp;IF(E26&lt;&gt;"",E26&amp;"Bilik ","")&amp;IF(F26&lt;&gt;"",F26&amp;"Bilik Air ","")&amp;IF(G26&lt;&gt;"",G26&amp;" sqft","")&amp;IF(AND(OR(E26&lt;&gt;"",G26&lt;&gt;""),H26&lt;&gt;"")," · ","")&amp;IF(H26&lt;&gt;"",SUBSTITUTE(SUBSTITUTE(SUBSTITUTE(SUBSTITUTE(SUBSTITUTE(SUBSTITUTE(SUBSTITUTE(SUBSTITUTE(SUBSTITUTE(SUBSTITUTE(H26,"游泳池","Kolam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6" s="32" t="str">
        <f aca="false">IF(OR(I26&lt;&gt;"",J26&lt;&gt;"",K26&lt;&gt;""),"🔒 "&amp;IF(I26&lt;&gt;"",I26,"")&amp;IF(AND(I26&lt;&gt;"",J26&lt;&gt;"")," · ","")&amp;IF(J26&lt;&gt;"",J26,"")&amp;IF(AND(OR(I26&lt;&gt;"",J26&lt;&gt;""),K26&lt;&gt;"")," · ","")&amp;IF(K26&lt;&gt;"",K26,""),"")</f>
        <v/>
      </c>
      <c r="V26" s="31" t="str">
        <f aca="false">IF(L26&lt;&gt;"","💰 售价 RM "&amp;TEXT(L26,"#,##0"),"")</f>
        <v/>
      </c>
      <c r="W26" s="31" t="str">
        <f aca="false">IF(L26&lt;&gt;"","💰 Selling Price RM "&amp;TEXT(L26,"#,##0"),"")</f>
        <v/>
      </c>
      <c r="X26" s="31" t="str">
        <f aca="false">IF(L26&lt;&gt;"","💰 Harga Jualan RM "&amp;TEXT(L26,"#,##0"),"")</f>
        <v/>
      </c>
      <c r="Y26" s="33" t="str">
        <f aca="false">IF(D26&lt;&gt;"","您好！我想咨询购买：
🏠 "&amp;D26&amp;"
"&amp;IF(E26&lt;&gt;"","🛏 "&amp;E26&amp;"房"&amp;IF(F26&lt;&gt;""," "&amp;F26&amp;"卫","")&amp;"
","")&amp;IF(G26&lt;&gt;"","📐 "&amp;G26&amp;" sqft
","")&amp;IF(H26&lt;&gt;"","🏊 "&amp;H26&amp;"
","")&amp;IF(U26&lt;&gt;"",U26&amp;"
","")&amp;IF(L26&lt;&gt;"","💰 售价 RM "&amp;TEXT(L26,"#,##0")&amp;"
","")&amp;"
请问还有空档吗？谢谢！","")</f>
        <v/>
      </c>
      <c r="Z26" s="33" t="str">
        <f aca="false">IF(D26&lt;&gt;"","Hi! I'd like to make a purchase enquiry:
🏠 "&amp;P26&amp;"
"&amp;IF(E26&lt;&gt;"","🛏 "&amp;E26&amp;"BR"&amp;IF(F26&lt;&gt;""," "&amp;F26&amp;"BA","")&amp;"
","")&amp;IF(G26&lt;&gt;"","📐 "&amp;G26&amp;" sqft
","")&amp;IF(H26&lt;&gt;"","🏊 "&amp;SUBSTITUTE(SUBSTITUTE(SUBSTITUTE(SUBSTITUTE(SUBSTITUTE(SUBSTITUTE(SUBSTITUTE(SUBSTITUTE(SUBSTITUTE(SUBSTITUTE(H26,"游泳池","Swimming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","")&amp;IF(L26&lt;&gt;"","💰 Selling Price RM "&amp;TEXT(L26,"#,##0")&amp;"
","")&amp;"
Is this still available? Thank you!","")</f>
        <v/>
      </c>
      <c r="AA26" s="31"/>
      <c r="AB26" s="33" t="str">
        <f aca="false">IF(D26&lt;&gt;"","Helo! Saya ingin membuat pertanyaan pembelian:
🏠 "&amp;Q26&amp;"
"&amp;IF(E26&lt;&gt;"","🛏 "&amp;E26&amp;"Bilik"&amp;IF(F26&lt;&gt;""," "&amp;F26&amp;"Bilik Air","")&amp;"
","")&amp;IF(G26&lt;&gt;"","📐 "&amp;G26&amp;" sqft
","")&amp;IF(H26&lt;&gt;"","🏊 "&amp;SUBSTITUTE(SUBSTITUTE(SUBSTITUTE(SUBSTITUTE(SUBSTITUTE(SUBSTITUTE(SUBSTITUTE(SUBSTITUTE(SUBSTITUTE(SUBSTITUTE(H26,"游泳池","Kolam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","")&amp;IF(L26&lt;&gt;"","💰 Harga Jualan RM "&amp;TEXT(L26,"#,##0")&amp;"
","")&amp;"
Adakah masih tersedia? Terima kasih!","")</f>
        <v/>
      </c>
    </row>
    <row r="27" customFormat="false" ht="51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9"/>
      <c r="J27" s="29"/>
      <c r="K27" s="29"/>
      <c r="L27" s="28"/>
      <c r="M27" s="30"/>
      <c r="N27" s="31" t="str">
        <f aca="false">IFERROR(ifs(B27="🏢 Condo 公寓","fa-building",B27="🏠 Apartment 单位","fa-home",B27="🌿 即租即住","fa-home",B27="🌿 近国际学校","fa-school",B27="📌 商业旺铺","fa-store",B27="🌟 海景豪宅","fa-water-ladder",B27="📈 投资优选","fa-chart-line",B27="🏞️ 花园住宅","fa-tree",B27="🌟 2026全新地标","fa-drafting-compass",B27="📈 海外投资优选","fa-globe",B27="🌆 核心地段","fa-city",B27="🔥 限时优惠","fa-fire",B27="✅ 永久产权","fa-certificate",B27="🏅 高回报","fa-medal",B27="🏖️ 度假胜地","fa-umbrella-beach",B27="🏫 学区优选","fa-graduation-cap",B27="🛣️ 交通便利","fa-road",B27="🔑 即买即住","fa-key"),"fa-home")</f>
        <v>fa-home</v>
      </c>
      <c r="O27" s="31" t="str">
        <f aca="false">IF(D27&lt;&gt;"",D27,"")</f>
        <v/>
      </c>
      <c r="P27" s="31" t="str">
        <f aca="false">IF(D27&lt;&gt;"",SUBSTITUTE(SUBSTITUTE(SUBSTITUTE(SUBSTITUTE(SUBSTITUTE(SUBSTITUTE(SUBSTITUTE(SUBSTITUTE(SUBSTITUTE(SUBSTITUTE(D27,"亚庇","Kota Kinabalu"),"公寓","Condo"),"排屋","Terrace"),"别墅","Villa"),"店铺","Shop"),"新山","Johor Bahru"),"市中心","City Centre"),"高级","Premium"),"单位","Unit"),"住宅","Residence"),"")</f>
        <v/>
      </c>
      <c r="Q27" s="31" t="str">
        <f aca="false">IF(D27&lt;&gt;"",SUBSTITUTE(SUBSTITUTE(SUBSTITUTE(SUBSTITUTE(SUBSTITUTE(SUBSTITUTE(SUBSTITUTE(SUBSTITUTE(SUBSTITUTE(SUBSTITUTE(D27,"亚庇","Kota Kinabalu"),"公寓","Kondominium"),"排屋","Rumah Teres"),"别墅","Vila"),"店铺","Kedai"),"新山","Johor Bahru"),"市中心","Pusat Bandar"),"高级","Premium"),"单位","Unit"),"住宅","Kediaman"),"")</f>
        <v/>
      </c>
      <c r="R27" s="31" t="str">
        <f aca="false">IF(D27&lt;&gt;"","📍 "&amp;IF(E27&lt;&gt;"",E27&amp;"房","")&amp;IF(F27&lt;&gt;"",F27&amp;"卫 ","")&amp;IF(G27&lt;&gt;"",G27&amp;" sqft","")&amp;IF(AND(OR(E27&lt;&gt;"",G27&lt;&gt;""),H27&lt;&gt;"")," · ","")&amp;IF(H27&lt;&gt;"",H27,""),"")</f>
        <v/>
      </c>
      <c r="S27" s="31" t="str">
        <f aca="false">IF(D27&lt;&gt;"","📍 "&amp;IF(E27&lt;&gt;"",E27&amp;"BR ","")&amp;IF(F27&lt;&gt;"",F27&amp;"BA ","")&amp;IF(G27&lt;&gt;"",G27&amp;" sqft","")&amp;IF(AND(OR(E27&lt;&gt;"",G27&lt;&gt;""),H27&lt;&gt;"")," · ","")&amp;IF(H27&lt;&gt;"",SUBSTITUTE(SUBSTITUTE(SUBSTITUTE(SUBSTITUTE(SUBSTITUTE(SUBSTITUTE(SUBSTITUTE(SUBSTITUTE(SUBSTITUTE(SUBSTITUTE(H27,"游泳池","Swimming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7" s="31" t="str">
        <f aca="false">IF(D27&lt;&gt;"","📍 "&amp;IF(E27&lt;&gt;"",E27&amp;"Bilik ","")&amp;IF(F27&lt;&gt;"",F27&amp;"Bilik Air ","")&amp;IF(G27&lt;&gt;"",G27&amp;" sqft","")&amp;IF(AND(OR(E27&lt;&gt;"",G27&lt;&gt;""),H27&lt;&gt;"")," · ","")&amp;IF(H27&lt;&gt;"",SUBSTITUTE(SUBSTITUTE(SUBSTITUTE(SUBSTITUTE(SUBSTITUTE(SUBSTITUTE(SUBSTITUTE(SUBSTITUTE(SUBSTITUTE(SUBSTITUTE(H27,"游泳池","Kolam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7" s="32" t="str">
        <f aca="false">IF(OR(I27&lt;&gt;"",J27&lt;&gt;"",K27&lt;&gt;""),"🔒 "&amp;IF(I27&lt;&gt;"",I27,"")&amp;IF(AND(I27&lt;&gt;"",J27&lt;&gt;"")," · ","")&amp;IF(J27&lt;&gt;"",J27,"")&amp;IF(AND(OR(I27&lt;&gt;"",J27&lt;&gt;""),K27&lt;&gt;"")," · ","")&amp;IF(K27&lt;&gt;"",K27,""),"")</f>
        <v/>
      </c>
      <c r="V27" s="31" t="str">
        <f aca="false">IF(L27&lt;&gt;"","💰 售价 RM "&amp;TEXT(L27,"#,##0"),"")</f>
        <v/>
      </c>
      <c r="W27" s="31" t="str">
        <f aca="false">IF(L27&lt;&gt;"","💰 Selling Price RM "&amp;TEXT(L27,"#,##0"),"")</f>
        <v/>
      </c>
      <c r="X27" s="31" t="str">
        <f aca="false">IF(L27&lt;&gt;"","💰 Harga Jualan RM "&amp;TEXT(L27,"#,##0"),"")</f>
        <v/>
      </c>
      <c r="Y27" s="33" t="str">
        <f aca="false">IF(D27&lt;&gt;"","您好！我想咨询购买：
🏠 "&amp;D27&amp;"
"&amp;IF(E27&lt;&gt;"","🛏 "&amp;E27&amp;"房"&amp;IF(F27&lt;&gt;""," "&amp;F27&amp;"卫","")&amp;"
","")&amp;IF(G27&lt;&gt;"","📐 "&amp;G27&amp;" sqft
","")&amp;IF(H27&lt;&gt;"","🏊 "&amp;H27&amp;"
","")&amp;IF(U27&lt;&gt;"",U27&amp;"
","")&amp;IF(L27&lt;&gt;"","💰 售价 RM "&amp;TEXT(L27,"#,##0")&amp;"
","")&amp;"
请问还有空档吗？谢谢！","")</f>
        <v/>
      </c>
      <c r="Z27" s="33" t="str">
        <f aca="false">IF(D27&lt;&gt;"","Hi! I'd like to make a purchase enquiry:
🏠 "&amp;P27&amp;"
"&amp;IF(E27&lt;&gt;"","🛏 "&amp;E27&amp;"BR"&amp;IF(F27&lt;&gt;""," "&amp;F27&amp;"BA","")&amp;"
","")&amp;IF(G27&lt;&gt;"","📐 "&amp;G27&amp;" sqft
","")&amp;IF(H27&lt;&gt;"","🏊 "&amp;SUBSTITUTE(SUBSTITUTE(SUBSTITUTE(SUBSTITUTE(SUBSTITUTE(SUBSTITUTE(SUBSTITUTE(SUBSTITUTE(SUBSTITUTE(SUBSTITUTE(H27,"游泳池","Swimming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","")&amp;IF(L27&lt;&gt;"","💰 Selling Price RM "&amp;TEXT(L27,"#,##0")&amp;"
","")&amp;"
Is this still available? Thank you!","")</f>
        <v/>
      </c>
      <c r="AA27" s="31"/>
      <c r="AB27" s="33" t="str">
        <f aca="false">IF(D27&lt;&gt;"","Helo! Saya ingin membuat pertanyaan pembelian:
🏠 "&amp;Q27&amp;"
"&amp;IF(E27&lt;&gt;"","🛏 "&amp;E27&amp;"Bilik"&amp;IF(F27&lt;&gt;""," "&amp;F27&amp;"Bilik Air","")&amp;"
","")&amp;IF(G27&lt;&gt;"","📐 "&amp;G27&amp;" sqft
","")&amp;IF(H27&lt;&gt;"","🏊 "&amp;SUBSTITUTE(SUBSTITUTE(SUBSTITUTE(SUBSTITUTE(SUBSTITUTE(SUBSTITUTE(SUBSTITUTE(SUBSTITUTE(SUBSTITUTE(SUBSTITUTE(H27,"游泳池","Kolam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","")&amp;IF(L27&lt;&gt;"","💰 Harga Jualan RM "&amp;TEXT(L27,"#,##0")&amp;"
","")&amp;"
Adakah masih tersedia? Terima kasih!","")</f>
        <v/>
      </c>
    </row>
    <row r="28" customFormat="false" ht="5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9"/>
      <c r="J28" s="29"/>
      <c r="K28" s="29"/>
      <c r="L28" s="28"/>
      <c r="M28" s="30"/>
      <c r="N28" s="31" t="str">
        <f aca="false">IFERROR(ifs(B28="🏢 Condo 公寓","fa-building",B28="🏠 Apartment 单位","fa-home",B28="🌿 即租即住","fa-home",B28="🌿 近国际学校","fa-school",B28="📌 商业旺铺","fa-store",B28="🌟 海景豪宅","fa-water-ladder",B28="📈 投资优选","fa-chart-line",B28="🏞️ 花园住宅","fa-tree",B28="🌟 2026全新地标","fa-drafting-compass",B28="📈 海外投资优选","fa-globe",B28="🌆 核心地段","fa-city",B28="🔥 限时优惠","fa-fire",B28="✅ 永久产权","fa-certificate",B28="🏅 高回报","fa-medal",B28="🏖️ 度假胜地","fa-umbrella-beach",B28="🏫 学区优选","fa-graduation-cap",B28="🛣️ 交通便利","fa-road",B28="🔑 即买即住","fa-key"),"fa-home")</f>
        <v>fa-home</v>
      </c>
      <c r="O28" s="31" t="str">
        <f aca="false">IF(D28&lt;&gt;"",D28,"")</f>
        <v/>
      </c>
      <c r="P28" s="31" t="str">
        <f aca="false">IF(D28&lt;&gt;"",SUBSTITUTE(SUBSTITUTE(SUBSTITUTE(SUBSTITUTE(SUBSTITUTE(SUBSTITUTE(SUBSTITUTE(SUBSTITUTE(SUBSTITUTE(SUBSTITUTE(D28,"亚庇","Kota Kinabalu"),"公寓","Condo"),"排屋","Terrace"),"别墅","Villa"),"店铺","Shop"),"新山","Johor Bahru"),"市中心","City Centre"),"高级","Premium"),"单位","Unit"),"住宅","Residence"),"")</f>
        <v/>
      </c>
      <c r="Q28" s="31" t="str">
        <f aca="false">IF(D28&lt;&gt;"",SUBSTITUTE(SUBSTITUTE(SUBSTITUTE(SUBSTITUTE(SUBSTITUTE(SUBSTITUTE(SUBSTITUTE(SUBSTITUTE(SUBSTITUTE(SUBSTITUTE(D28,"亚庇","Kota Kinabalu"),"公寓","Kondominium"),"排屋","Rumah Teres"),"别墅","Vila"),"店铺","Kedai"),"新山","Johor Bahru"),"市中心","Pusat Bandar"),"高级","Premium"),"单位","Unit"),"住宅","Kediaman"),"")</f>
        <v/>
      </c>
      <c r="R28" s="31" t="str">
        <f aca="false">IF(D28&lt;&gt;"","📍 "&amp;IF(E28&lt;&gt;"",E28&amp;"房","")&amp;IF(F28&lt;&gt;"",F28&amp;"卫 ","")&amp;IF(G28&lt;&gt;"",G28&amp;" sqft","")&amp;IF(AND(OR(E28&lt;&gt;"",G28&lt;&gt;""),H28&lt;&gt;"")," · ","")&amp;IF(H28&lt;&gt;"",H28,""),"")</f>
        <v/>
      </c>
      <c r="S28" s="31" t="str">
        <f aca="false">IF(D28&lt;&gt;"","📍 "&amp;IF(E28&lt;&gt;"",E28&amp;"BR ","")&amp;IF(F28&lt;&gt;"",F28&amp;"BA ","")&amp;IF(G28&lt;&gt;"",G28&amp;" sqft","")&amp;IF(AND(OR(E28&lt;&gt;"",G28&lt;&gt;""),H28&lt;&gt;"")," · ","")&amp;IF(H28&lt;&gt;"",SUBSTITUTE(SUBSTITUTE(SUBSTITUTE(SUBSTITUTE(SUBSTITUTE(SUBSTITUTE(SUBSTITUTE(SUBSTITUTE(SUBSTITUTE(SUBSTITUTE(H28,"游泳池","Swimming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8" s="31" t="str">
        <f aca="false">IF(D28&lt;&gt;"","📍 "&amp;IF(E28&lt;&gt;"",E28&amp;"Bilik ","")&amp;IF(F28&lt;&gt;"",F28&amp;"Bilik Air ","")&amp;IF(G28&lt;&gt;"",G28&amp;" sqft","")&amp;IF(AND(OR(E28&lt;&gt;"",G28&lt;&gt;""),H28&lt;&gt;"")," · ","")&amp;IF(H28&lt;&gt;"",SUBSTITUTE(SUBSTITUTE(SUBSTITUTE(SUBSTITUTE(SUBSTITUTE(SUBSTITUTE(SUBSTITUTE(SUBSTITUTE(SUBSTITUTE(SUBSTITUTE(H28,"游泳池","Kolam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8" s="32" t="str">
        <f aca="false">IF(OR(I28&lt;&gt;"",J28&lt;&gt;"",K28&lt;&gt;""),"🔒 "&amp;IF(I28&lt;&gt;"",I28,"")&amp;IF(AND(I28&lt;&gt;"",J28&lt;&gt;"")," · ","")&amp;IF(J28&lt;&gt;"",J28,"")&amp;IF(AND(OR(I28&lt;&gt;"",J28&lt;&gt;""),K28&lt;&gt;"")," · ","")&amp;IF(K28&lt;&gt;"",K28,""),"")</f>
        <v/>
      </c>
      <c r="V28" s="31" t="str">
        <f aca="false">IF(L28&lt;&gt;"","💰 售价 RM "&amp;TEXT(L28,"#,##0"),"")</f>
        <v/>
      </c>
      <c r="W28" s="31" t="str">
        <f aca="false">IF(L28&lt;&gt;"","💰 Selling Price RM "&amp;TEXT(L28,"#,##0"),"")</f>
        <v/>
      </c>
      <c r="X28" s="31" t="str">
        <f aca="false">IF(L28&lt;&gt;"","💰 Harga Jualan RM "&amp;TEXT(L28,"#,##0"),"")</f>
        <v/>
      </c>
      <c r="Y28" s="33" t="str">
        <f aca="false">IF(D28&lt;&gt;"","您好！我想咨询购买：
🏠 "&amp;D28&amp;"
"&amp;IF(E28&lt;&gt;"","🛏 "&amp;E28&amp;"房"&amp;IF(F28&lt;&gt;""," "&amp;F28&amp;"卫","")&amp;"
","")&amp;IF(G28&lt;&gt;"","📐 "&amp;G28&amp;" sqft
","")&amp;IF(H28&lt;&gt;"","🏊 "&amp;H28&amp;"
","")&amp;IF(U28&lt;&gt;"",U28&amp;"
","")&amp;IF(L28&lt;&gt;"","💰 售价 RM "&amp;TEXT(L28,"#,##0")&amp;"
","")&amp;"
请问还有空档吗？谢谢！","")</f>
        <v/>
      </c>
      <c r="Z28" s="33" t="str">
        <f aca="false">IF(D28&lt;&gt;"","Hi! I'd like to make a purchase enquiry:
🏠 "&amp;P28&amp;"
"&amp;IF(E28&lt;&gt;"","🛏 "&amp;E28&amp;"BR"&amp;IF(F28&lt;&gt;""," "&amp;F28&amp;"BA","")&amp;"
","")&amp;IF(G28&lt;&gt;"","📐 "&amp;G28&amp;" sqft
","")&amp;IF(H28&lt;&gt;"","🏊 "&amp;SUBSTITUTE(SUBSTITUTE(SUBSTITUTE(SUBSTITUTE(SUBSTITUTE(SUBSTITUTE(SUBSTITUTE(SUBSTITUTE(SUBSTITUTE(SUBSTITUTE(H28,"游泳池","Swimming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","")&amp;IF(L28&lt;&gt;"","💰 Selling Price RM "&amp;TEXT(L28,"#,##0")&amp;"
","")&amp;"
Is this still available? Thank you!","")</f>
        <v/>
      </c>
      <c r="AA28" s="31"/>
      <c r="AB28" s="33" t="str">
        <f aca="false">IF(D28&lt;&gt;"","Helo! Saya ingin membuat pertanyaan pembelian:
🏠 "&amp;Q28&amp;"
"&amp;IF(E28&lt;&gt;"","🛏 "&amp;E28&amp;"Bilik"&amp;IF(F28&lt;&gt;""," "&amp;F28&amp;"Bilik Air","")&amp;"
","")&amp;IF(G28&lt;&gt;"","📐 "&amp;G28&amp;" sqft
","")&amp;IF(H28&lt;&gt;"","🏊 "&amp;SUBSTITUTE(SUBSTITUTE(SUBSTITUTE(SUBSTITUTE(SUBSTITUTE(SUBSTITUTE(SUBSTITUTE(SUBSTITUTE(SUBSTITUTE(SUBSTITUTE(H28,"游泳池","Kolam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","")&amp;IF(L28&lt;&gt;"","💰 Harga Jualan RM "&amp;TEXT(L28,"#,##0")&amp;"
","")&amp;"
Adakah masih tersedia? Terima kasih!","")</f>
        <v/>
      </c>
    </row>
    <row r="29" customFormat="false" ht="51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9"/>
      <c r="J29" s="29"/>
      <c r="K29" s="29"/>
      <c r="L29" s="28"/>
      <c r="M29" s="30"/>
      <c r="N29" s="31" t="str">
        <f aca="false">IFERROR(ifs(B29="🏢 Condo 公寓","fa-building",B29="🏠 Apartment 单位","fa-home",B29="🌿 即租即住","fa-home",B29="🌿 近国际学校","fa-school",B29="📌 商业旺铺","fa-store",B29="🌟 海景豪宅","fa-water-ladder",B29="📈 投资优选","fa-chart-line",B29="🏞️ 花园住宅","fa-tree",B29="🌟 2026全新地标","fa-drafting-compass",B29="📈 海外投资优选","fa-globe",B29="🌆 核心地段","fa-city",B29="🔥 限时优惠","fa-fire",B29="✅ 永久产权","fa-certificate",B29="🏅 高回报","fa-medal",B29="🏖️ 度假胜地","fa-umbrella-beach",B29="🏫 学区优选","fa-graduation-cap",B29="🛣️ 交通便利","fa-road",B29="🔑 即买即住","fa-key"),"fa-home")</f>
        <v>fa-home</v>
      </c>
      <c r="O29" s="31" t="str">
        <f aca="false">IF(D29&lt;&gt;"",D29,"")</f>
        <v/>
      </c>
      <c r="P29" s="31" t="str">
        <f aca="false">IF(D29&lt;&gt;"",SUBSTITUTE(SUBSTITUTE(SUBSTITUTE(SUBSTITUTE(SUBSTITUTE(SUBSTITUTE(SUBSTITUTE(SUBSTITUTE(SUBSTITUTE(SUBSTITUTE(D29,"亚庇","Kota Kinabalu"),"公寓","Condo"),"排屋","Terrace"),"别墅","Villa"),"店铺","Shop"),"新山","Johor Bahru"),"市中心","City Centre"),"高级","Premium"),"单位","Unit"),"住宅","Residence"),"")</f>
        <v/>
      </c>
      <c r="Q29" s="31" t="str">
        <f aca="false">IF(D29&lt;&gt;"",SUBSTITUTE(SUBSTITUTE(SUBSTITUTE(SUBSTITUTE(SUBSTITUTE(SUBSTITUTE(SUBSTITUTE(SUBSTITUTE(SUBSTITUTE(SUBSTITUTE(D29,"亚庇","Kota Kinabalu"),"公寓","Kondominium"),"排屋","Rumah Teres"),"别墅","Vila"),"店铺","Kedai"),"新山","Johor Bahru"),"市中心","Pusat Bandar"),"高级","Premium"),"单位","Unit"),"住宅","Kediaman"),"")</f>
        <v/>
      </c>
      <c r="R29" s="31" t="str">
        <f aca="false">IF(D29&lt;&gt;"","📍 "&amp;IF(E29&lt;&gt;"",E29&amp;"房","")&amp;IF(F29&lt;&gt;"",F29&amp;"卫 ","")&amp;IF(G29&lt;&gt;"",G29&amp;" sqft","")&amp;IF(AND(OR(E29&lt;&gt;"",G29&lt;&gt;""),H29&lt;&gt;"")," · ","")&amp;IF(H29&lt;&gt;"",H29,""),"")</f>
        <v/>
      </c>
      <c r="S29" s="31" t="str">
        <f aca="false">IF(D29&lt;&gt;"","📍 "&amp;IF(E29&lt;&gt;"",E29&amp;"BR ","")&amp;IF(F29&lt;&gt;"",F29&amp;"BA ","")&amp;IF(G29&lt;&gt;"",G29&amp;" sqft","")&amp;IF(AND(OR(E29&lt;&gt;"",G29&lt;&gt;""),H29&lt;&gt;"")," · ","")&amp;IF(H29&lt;&gt;"",SUBSTITUTE(SUBSTITUTE(SUBSTITUTE(SUBSTITUTE(SUBSTITUTE(SUBSTITUTE(SUBSTITUTE(SUBSTITUTE(SUBSTITUTE(SUBSTITUTE(H29,"游泳池","Swimming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9" s="31" t="str">
        <f aca="false">IF(D29&lt;&gt;"","📍 "&amp;IF(E29&lt;&gt;"",E29&amp;"Bilik ","")&amp;IF(F29&lt;&gt;"",F29&amp;"Bilik Air ","")&amp;IF(G29&lt;&gt;"",G29&amp;" sqft","")&amp;IF(AND(OR(E29&lt;&gt;"",G29&lt;&gt;""),H29&lt;&gt;"")," · ","")&amp;IF(H29&lt;&gt;"",SUBSTITUTE(SUBSTITUTE(SUBSTITUTE(SUBSTITUTE(SUBSTITUTE(SUBSTITUTE(SUBSTITUTE(SUBSTITUTE(SUBSTITUTE(SUBSTITUTE(H29,"游泳池","Kolam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9" s="32" t="str">
        <f aca="false">IF(OR(I29&lt;&gt;"",J29&lt;&gt;"",K29&lt;&gt;""),"🔒 "&amp;IF(I29&lt;&gt;"",I29,"")&amp;IF(AND(I29&lt;&gt;"",J29&lt;&gt;"")," · ","")&amp;IF(J29&lt;&gt;"",J29,"")&amp;IF(AND(OR(I29&lt;&gt;"",J29&lt;&gt;""),K29&lt;&gt;"")," · ","")&amp;IF(K29&lt;&gt;"",K29,""),"")</f>
        <v/>
      </c>
      <c r="V29" s="31" t="str">
        <f aca="false">IF(L29&lt;&gt;"","💰 售价 RM "&amp;TEXT(L29,"#,##0"),"")</f>
        <v/>
      </c>
      <c r="W29" s="31" t="str">
        <f aca="false">IF(L29&lt;&gt;"","💰 Selling Price RM "&amp;TEXT(L29,"#,##0"),"")</f>
        <v/>
      </c>
      <c r="X29" s="31" t="str">
        <f aca="false">IF(L29&lt;&gt;"","💰 Harga Jualan RM "&amp;TEXT(L29,"#,##0"),"")</f>
        <v/>
      </c>
      <c r="Y29" s="33" t="str">
        <f aca="false">IF(D29&lt;&gt;"","您好！我想咨询购买：
🏠 "&amp;D29&amp;"
"&amp;IF(E29&lt;&gt;"","🛏 "&amp;E29&amp;"房"&amp;IF(F29&lt;&gt;""," "&amp;F29&amp;"卫","")&amp;"
","")&amp;IF(G29&lt;&gt;"","📐 "&amp;G29&amp;" sqft
","")&amp;IF(H29&lt;&gt;"","🏊 "&amp;H29&amp;"
","")&amp;IF(U29&lt;&gt;"",U29&amp;"
","")&amp;IF(L29&lt;&gt;"","💰 售价 RM "&amp;TEXT(L29,"#,##0")&amp;"
","")&amp;"
请问还有空档吗？谢谢！","")</f>
        <v/>
      </c>
      <c r="Z29" s="33" t="str">
        <f aca="false">IF(D29&lt;&gt;"","Hi! I'd like to make a purchase enquiry:
🏠 "&amp;P29&amp;"
"&amp;IF(E29&lt;&gt;"","🛏 "&amp;E29&amp;"BR"&amp;IF(F29&lt;&gt;""," "&amp;F29&amp;"BA","")&amp;"
","")&amp;IF(G29&lt;&gt;"","📐 "&amp;G29&amp;" sqft
","")&amp;IF(H29&lt;&gt;"","🏊 "&amp;SUBSTITUTE(SUBSTITUTE(SUBSTITUTE(SUBSTITUTE(SUBSTITUTE(SUBSTITUTE(SUBSTITUTE(SUBSTITUTE(SUBSTITUTE(SUBSTITUTE(H29,"游泳池","Swimming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","")&amp;IF(L29&lt;&gt;"","💰 Selling Price RM "&amp;TEXT(L29,"#,##0")&amp;"
","")&amp;"
Is this still available? Thank you!","")</f>
        <v/>
      </c>
      <c r="AA29" s="31"/>
      <c r="AB29" s="33" t="str">
        <f aca="false">IF(D29&lt;&gt;"","Helo! Saya ingin membuat pertanyaan pembelian:
🏠 "&amp;Q29&amp;"
"&amp;IF(E29&lt;&gt;"","🛏 "&amp;E29&amp;"Bilik"&amp;IF(F29&lt;&gt;""," "&amp;F29&amp;"Bilik Air","")&amp;"
","")&amp;IF(G29&lt;&gt;"","📐 "&amp;G29&amp;" sqft
","")&amp;IF(H29&lt;&gt;"","🏊 "&amp;SUBSTITUTE(SUBSTITUTE(SUBSTITUTE(SUBSTITUTE(SUBSTITUTE(SUBSTITUTE(SUBSTITUTE(SUBSTITUTE(SUBSTITUTE(SUBSTITUTE(H29,"游泳池","Kolam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","")&amp;IF(L29&lt;&gt;"","💰 Harga Jualan RM "&amp;TEXT(L29,"#,##0")&amp;"
","")&amp;"
Adakah masih tersedia? Terima kasih!","")</f>
        <v/>
      </c>
    </row>
    <row r="30" customFormat="false" ht="5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9"/>
      <c r="J30" s="29"/>
      <c r="K30" s="29"/>
      <c r="L30" s="28"/>
      <c r="M30" s="30"/>
      <c r="N30" s="31" t="str">
        <f aca="false">IFERROR(ifs(B30="🏢 Condo 公寓","fa-building",B30="🏠 Apartment 单位","fa-home",B30="🌿 即租即住","fa-home",B30="🌿 近国际学校","fa-school",B30="📌 商业旺铺","fa-store",B30="🌟 海景豪宅","fa-water-ladder",B30="📈 投资优选","fa-chart-line",B30="🏞️ 花园住宅","fa-tree",B30="🌟 2026全新地标","fa-drafting-compass",B30="📈 海外投资优选","fa-globe",B30="🌆 核心地段","fa-city",B30="🔥 限时优惠","fa-fire",B30="✅ 永久产权","fa-certificate",B30="🏅 高回报","fa-medal",B30="🏖️ 度假胜地","fa-umbrella-beach",B30="🏫 学区优选","fa-graduation-cap",B30="🛣️ 交通便利","fa-road",B30="🔑 即买即住","fa-key"),"fa-home")</f>
        <v>fa-home</v>
      </c>
      <c r="O30" s="31" t="str">
        <f aca="false">IF(D30&lt;&gt;"",D30,"")</f>
        <v/>
      </c>
      <c r="P30" s="31" t="str">
        <f aca="false">IF(D30&lt;&gt;"",SUBSTITUTE(SUBSTITUTE(SUBSTITUTE(SUBSTITUTE(SUBSTITUTE(SUBSTITUTE(SUBSTITUTE(SUBSTITUTE(SUBSTITUTE(SUBSTITUTE(D30,"亚庇","Kota Kinabalu"),"公寓","Condo"),"排屋","Terrace"),"别墅","Villa"),"店铺","Shop"),"新山","Johor Bahru"),"市中心","City Centre"),"高级","Premium"),"单位","Unit"),"住宅","Residence"),"")</f>
        <v/>
      </c>
      <c r="Q30" s="31" t="str">
        <f aca="false">IF(D30&lt;&gt;"",SUBSTITUTE(SUBSTITUTE(SUBSTITUTE(SUBSTITUTE(SUBSTITUTE(SUBSTITUTE(SUBSTITUTE(SUBSTITUTE(SUBSTITUTE(SUBSTITUTE(D30,"亚庇","Kota Kinabalu"),"公寓","Kondominium"),"排屋","Rumah Teres"),"别墅","Vila"),"店铺","Kedai"),"新山","Johor Bahru"),"市中心","Pusat Bandar"),"高级","Premium"),"单位","Unit"),"住宅","Kediaman"),"")</f>
        <v/>
      </c>
      <c r="R30" s="31" t="str">
        <f aca="false">IF(D30&lt;&gt;"","📍 "&amp;IF(E30&lt;&gt;"",E30&amp;"房","")&amp;IF(F30&lt;&gt;"",F30&amp;"卫 ","")&amp;IF(G30&lt;&gt;"",G30&amp;" sqft","")&amp;IF(AND(OR(E30&lt;&gt;"",G30&lt;&gt;""),H30&lt;&gt;"")," · ","")&amp;IF(H30&lt;&gt;"",H30,""),"")</f>
        <v/>
      </c>
      <c r="S30" s="31" t="str">
        <f aca="false">IF(D30&lt;&gt;"","📍 "&amp;IF(E30&lt;&gt;"",E30&amp;"BR ","")&amp;IF(F30&lt;&gt;"",F30&amp;"BA ","")&amp;IF(G30&lt;&gt;"",G30&amp;" sqft","")&amp;IF(AND(OR(E30&lt;&gt;"",G30&lt;&gt;""),H30&lt;&gt;"")," · ","")&amp;IF(H30&lt;&gt;"",SUBSTITUTE(SUBSTITUTE(SUBSTITUTE(SUBSTITUTE(SUBSTITUTE(SUBSTITUTE(SUBSTITUTE(SUBSTITUTE(SUBSTITUTE(SUBSTITUTE(H30,"游泳池","Swimming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0" s="31" t="str">
        <f aca="false">IF(D30&lt;&gt;"","📍 "&amp;IF(E30&lt;&gt;"",E30&amp;"Bilik ","")&amp;IF(F30&lt;&gt;"",F30&amp;"Bilik Air ","")&amp;IF(G30&lt;&gt;"",G30&amp;" sqft","")&amp;IF(AND(OR(E30&lt;&gt;"",G30&lt;&gt;""),H30&lt;&gt;"")," · ","")&amp;IF(H30&lt;&gt;"",SUBSTITUTE(SUBSTITUTE(SUBSTITUTE(SUBSTITUTE(SUBSTITUTE(SUBSTITUTE(SUBSTITUTE(SUBSTITUTE(SUBSTITUTE(SUBSTITUTE(H30,"游泳池","Kolam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0" s="32" t="str">
        <f aca="false">IF(OR(I30&lt;&gt;"",J30&lt;&gt;"",K30&lt;&gt;""),"🔒 "&amp;IF(I30&lt;&gt;"",I30,"")&amp;IF(AND(I30&lt;&gt;"",J30&lt;&gt;"")," · ","")&amp;IF(J30&lt;&gt;"",J30,"")&amp;IF(AND(OR(I30&lt;&gt;"",J30&lt;&gt;""),K30&lt;&gt;"")," · ","")&amp;IF(K30&lt;&gt;"",K30,""),"")</f>
        <v/>
      </c>
      <c r="V30" s="31" t="str">
        <f aca="false">IF(L30&lt;&gt;"","💰 售价 RM "&amp;TEXT(L30,"#,##0"),"")</f>
        <v/>
      </c>
      <c r="W30" s="31" t="str">
        <f aca="false">IF(L30&lt;&gt;"","💰 Selling Price RM "&amp;TEXT(L30,"#,##0"),"")</f>
        <v/>
      </c>
      <c r="X30" s="31" t="str">
        <f aca="false">IF(L30&lt;&gt;"","💰 Harga Jualan RM "&amp;TEXT(L30,"#,##0"),"")</f>
        <v/>
      </c>
      <c r="Y30" s="33" t="str">
        <f aca="false">IF(D30&lt;&gt;"","您好！我想咨询购买：
🏠 "&amp;D30&amp;"
"&amp;IF(E30&lt;&gt;"","🛏 "&amp;E30&amp;"房"&amp;IF(F30&lt;&gt;""," "&amp;F30&amp;"卫","")&amp;"
","")&amp;IF(G30&lt;&gt;"","📐 "&amp;G30&amp;" sqft
","")&amp;IF(H30&lt;&gt;"","🏊 "&amp;H30&amp;"
","")&amp;IF(U30&lt;&gt;"",U30&amp;"
","")&amp;IF(L30&lt;&gt;"","💰 售价 RM "&amp;TEXT(L30,"#,##0")&amp;"
","")&amp;"
请问还有空档吗？谢谢！","")</f>
        <v/>
      </c>
      <c r="Z30" s="33" t="str">
        <f aca="false">IF(D30&lt;&gt;"","Hi! I'd like to make a purchase enquiry:
🏠 "&amp;P30&amp;"
"&amp;IF(E30&lt;&gt;"","🛏 "&amp;E30&amp;"BR"&amp;IF(F30&lt;&gt;""," "&amp;F30&amp;"BA","")&amp;"
","")&amp;IF(G30&lt;&gt;"","📐 "&amp;G30&amp;" sqft
","")&amp;IF(H30&lt;&gt;"","🏊 "&amp;SUBSTITUTE(SUBSTITUTE(SUBSTITUTE(SUBSTITUTE(SUBSTITUTE(SUBSTITUTE(SUBSTITUTE(SUBSTITUTE(SUBSTITUTE(SUBSTITUTE(H30,"游泳池","Swimming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","")&amp;IF(L30&lt;&gt;"","💰 Selling Price RM "&amp;TEXT(L30,"#,##0")&amp;"
","")&amp;"
Is this still available? Thank you!","")</f>
        <v/>
      </c>
      <c r="AA30" s="31"/>
      <c r="AB30" s="33" t="str">
        <f aca="false">IF(D30&lt;&gt;"","Helo! Saya ingin membuat pertanyaan pembelian:
🏠 "&amp;Q30&amp;"
"&amp;IF(E30&lt;&gt;"","🛏 "&amp;E30&amp;"Bilik"&amp;IF(F30&lt;&gt;""," "&amp;F30&amp;"Bilik Air","")&amp;"
","")&amp;IF(G30&lt;&gt;"","📐 "&amp;G30&amp;" sqft
","")&amp;IF(H30&lt;&gt;"","🏊 "&amp;SUBSTITUTE(SUBSTITUTE(SUBSTITUTE(SUBSTITUTE(SUBSTITUTE(SUBSTITUTE(SUBSTITUTE(SUBSTITUTE(SUBSTITUTE(SUBSTITUTE(H30,"游泳池","Kolam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","")&amp;IF(L30&lt;&gt;"","💰 Harga Jualan RM "&amp;TEXT(L30,"#,##0")&amp;"
","")&amp;"
Adakah masih tersedia? Terima kasih!","")</f>
        <v/>
      </c>
    </row>
    <row r="31" customFormat="false" ht="51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9"/>
      <c r="J31" s="29"/>
      <c r="K31" s="29"/>
      <c r="L31" s="28"/>
      <c r="M31" s="30"/>
      <c r="N31" s="31" t="str">
        <f aca="false">IFERROR(ifs(B31="🏢 Condo 公寓","fa-building",B31="🏠 Apartment 单位","fa-home",B31="🌿 即租即住","fa-home",B31="🌿 近国际学校","fa-school",B31="📌 商业旺铺","fa-store",B31="🌟 海景豪宅","fa-water-ladder",B31="📈 投资优选","fa-chart-line",B31="🏞️ 花园住宅","fa-tree",B31="🌟 2026全新地标","fa-drafting-compass",B31="📈 海外投资优选","fa-globe",B31="🌆 核心地段","fa-city",B31="🔥 限时优惠","fa-fire",B31="✅ 永久产权","fa-certificate",B31="🏅 高回报","fa-medal",B31="🏖️ 度假胜地","fa-umbrella-beach",B31="🏫 学区优选","fa-graduation-cap",B31="🛣️ 交通便利","fa-road",B31="🔑 即买即住","fa-key"),"fa-home")</f>
        <v>fa-home</v>
      </c>
      <c r="O31" s="31" t="str">
        <f aca="false">IF(D31&lt;&gt;"",D31,"")</f>
        <v/>
      </c>
      <c r="P31" s="31" t="str">
        <f aca="false">IF(D31&lt;&gt;"",SUBSTITUTE(SUBSTITUTE(SUBSTITUTE(SUBSTITUTE(SUBSTITUTE(SUBSTITUTE(SUBSTITUTE(SUBSTITUTE(SUBSTITUTE(SUBSTITUTE(D31,"亚庇","Kota Kinabalu"),"公寓","Condo"),"排屋","Terrace"),"别墅","Villa"),"店铺","Shop"),"新山","Johor Bahru"),"市中心","City Centre"),"高级","Premium"),"单位","Unit"),"住宅","Residence"),"")</f>
        <v/>
      </c>
      <c r="Q31" s="31" t="str">
        <f aca="false">IF(D31&lt;&gt;"",SUBSTITUTE(SUBSTITUTE(SUBSTITUTE(SUBSTITUTE(SUBSTITUTE(SUBSTITUTE(SUBSTITUTE(SUBSTITUTE(SUBSTITUTE(SUBSTITUTE(D31,"亚庇","Kota Kinabalu"),"公寓","Kondominium"),"排屋","Rumah Teres"),"别墅","Vila"),"店铺","Kedai"),"新山","Johor Bahru"),"市中心","Pusat Bandar"),"高级","Premium"),"单位","Unit"),"住宅","Kediaman"),"")</f>
        <v/>
      </c>
      <c r="R31" s="31" t="str">
        <f aca="false">IF(D31&lt;&gt;"","📍 "&amp;IF(E31&lt;&gt;"",E31&amp;"房","")&amp;IF(F31&lt;&gt;"",F31&amp;"卫 ","")&amp;IF(G31&lt;&gt;"",G31&amp;" sqft","")&amp;IF(AND(OR(E31&lt;&gt;"",G31&lt;&gt;""),H31&lt;&gt;"")," · ","")&amp;IF(H31&lt;&gt;"",H31,""),"")</f>
        <v/>
      </c>
      <c r="S31" s="31" t="str">
        <f aca="false">IF(D31&lt;&gt;"","📍 "&amp;IF(E31&lt;&gt;"",E31&amp;"BR ","")&amp;IF(F31&lt;&gt;"",F31&amp;"BA ","")&amp;IF(G31&lt;&gt;"",G31&amp;" sqft","")&amp;IF(AND(OR(E31&lt;&gt;"",G31&lt;&gt;""),H31&lt;&gt;"")," · ","")&amp;IF(H31&lt;&gt;"",SUBSTITUTE(SUBSTITUTE(SUBSTITUTE(SUBSTITUTE(SUBSTITUTE(SUBSTITUTE(SUBSTITUTE(SUBSTITUTE(SUBSTITUTE(SUBSTITUTE(H31,"游泳池","Swimming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1" s="31" t="str">
        <f aca="false">IF(D31&lt;&gt;"","📍 "&amp;IF(E31&lt;&gt;"",E31&amp;"Bilik ","")&amp;IF(F31&lt;&gt;"",F31&amp;"Bilik Air ","")&amp;IF(G31&lt;&gt;"",G31&amp;" sqft","")&amp;IF(AND(OR(E31&lt;&gt;"",G31&lt;&gt;""),H31&lt;&gt;"")," · ","")&amp;IF(H31&lt;&gt;"",SUBSTITUTE(SUBSTITUTE(SUBSTITUTE(SUBSTITUTE(SUBSTITUTE(SUBSTITUTE(SUBSTITUTE(SUBSTITUTE(SUBSTITUTE(SUBSTITUTE(H31,"游泳池","Kolam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1" s="32" t="str">
        <f aca="false">IF(OR(I31&lt;&gt;"",J31&lt;&gt;"",K31&lt;&gt;""),"🔒 "&amp;IF(I31&lt;&gt;"",I31,"")&amp;IF(AND(I31&lt;&gt;"",J31&lt;&gt;"")," · ","")&amp;IF(J31&lt;&gt;"",J31,"")&amp;IF(AND(OR(I31&lt;&gt;"",J31&lt;&gt;""),K31&lt;&gt;"")," · ","")&amp;IF(K31&lt;&gt;"",K31,""),"")</f>
        <v/>
      </c>
      <c r="V31" s="31" t="str">
        <f aca="false">IF(L31&lt;&gt;"","💰 售价 RM "&amp;TEXT(L31,"#,##0"),"")</f>
        <v/>
      </c>
      <c r="W31" s="31" t="str">
        <f aca="false">IF(L31&lt;&gt;"","💰 Selling Price RM "&amp;TEXT(L31,"#,##0"),"")</f>
        <v/>
      </c>
      <c r="X31" s="31" t="str">
        <f aca="false">IF(L31&lt;&gt;"","💰 Harga Jualan RM "&amp;TEXT(L31,"#,##0"),"")</f>
        <v/>
      </c>
      <c r="Y31" s="33" t="str">
        <f aca="false">IF(D31&lt;&gt;"","您好！我想咨询购买：
🏠 "&amp;D31&amp;"
"&amp;IF(E31&lt;&gt;"","🛏 "&amp;E31&amp;"房"&amp;IF(F31&lt;&gt;""," "&amp;F31&amp;"卫","")&amp;"
","")&amp;IF(G31&lt;&gt;"","📐 "&amp;G31&amp;" sqft
","")&amp;IF(H31&lt;&gt;"","🏊 "&amp;H31&amp;"
","")&amp;IF(U31&lt;&gt;"",U31&amp;"
","")&amp;IF(L31&lt;&gt;"","💰 售价 RM "&amp;TEXT(L31,"#,##0")&amp;"
","")&amp;"
请问还有空档吗？谢谢！","")</f>
        <v/>
      </c>
      <c r="Z31" s="33" t="str">
        <f aca="false">IF(D31&lt;&gt;"","Hi! I'd like to make a purchase enquiry:
🏠 "&amp;P31&amp;"
"&amp;IF(E31&lt;&gt;"","🛏 "&amp;E31&amp;"BR"&amp;IF(F31&lt;&gt;""," "&amp;F31&amp;"BA","")&amp;"
","")&amp;IF(G31&lt;&gt;"","📐 "&amp;G31&amp;" sqft
","")&amp;IF(H31&lt;&gt;"","🏊 "&amp;SUBSTITUTE(SUBSTITUTE(SUBSTITUTE(SUBSTITUTE(SUBSTITUTE(SUBSTITUTE(SUBSTITUTE(SUBSTITUTE(SUBSTITUTE(SUBSTITUTE(H31,"游泳池","Swimming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","")&amp;IF(L31&lt;&gt;"","💰 Selling Price RM "&amp;TEXT(L31,"#,##0")&amp;"
","")&amp;"
Is this still available? Thank you!","")</f>
        <v/>
      </c>
      <c r="AA31" s="31"/>
      <c r="AB31" s="33" t="str">
        <f aca="false">IF(D31&lt;&gt;"","Helo! Saya ingin membuat pertanyaan pembelian:
🏠 "&amp;Q31&amp;"
"&amp;IF(E31&lt;&gt;"","🛏 "&amp;E31&amp;"Bilik"&amp;IF(F31&lt;&gt;""," "&amp;F31&amp;"Bilik Air","")&amp;"
","")&amp;IF(G31&lt;&gt;"","📐 "&amp;G31&amp;" sqft
","")&amp;IF(H31&lt;&gt;"","🏊 "&amp;SUBSTITUTE(SUBSTITUTE(SUBSTITUTE(SUBSTITUTE(SUBSTITUTE(SUBSTITUTE(SUBSTITUTE(SUBSTITUTE(SUBSTITUTE(SUBSTITUTE(H31,"游泳池","Kolam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","")&amp;IF(L31&lt;&gt;"","💰 Harga Jualan RM "&amp;TEXT(L31,"#,##0")&amp;"
","")&amp;"
Adakah masih tersedia? Terima kasih!","")</f>
        <v/>
      </c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9"/>
      <c r="J32" s="29"/>
      <c r="K32" s="29"/>
      <c r="L32" s="28"/>
      <c r="M32" s="30"/>
      <c r="N32" s="31" t="str">
        <f aca="false">IFERROR(ifs(B32="🏢 Condo 公寓","fa-building",B32="🏠 Apartment 单位","fa-home",B32="🌿 即租即住","fa-home",B32="🌿 近国际学校","fa-school",B32="📌 商业旺铺","fa-store",B32="🌟 海景豪宅","fa-water-ladder",B32="📈 投资优选","fa-chart-line",B32="🏞️ 花园住宅","fa-tree",B32="🌟 2026全新地标","fa-drafting-compass",B32="📈 海外投资优选","fa-globe",B32="🌆 核心地段","fa-city",B32="🔥 限时优惠","fa-fire",B32="✅ 永久产权","fa-certificate",B32="🏅 高回报","fa-medal",B32="🏖️ 度假胜地","fa-umbrella-beach",B32="🏫 学区优选","fa-graduation-cap",B32="🛣️ 交通便利","fa-road",B32="🔑 即买即住","fa-key"),"fa-home")</f>
        <v>fa-home</v>
      </c>
      <c r="O32" s="31" t="str">
        <f aca="false">IF(D32&lt;&gt;"",D32,"")</f>
        <v/>
      </c>
      <c r="P32" s="31" t="str">
        <f aca="false">IF(D32&lt;&gt;"",SUBSTITUTE(SUBSTITUTE(SUBSTITUTE(SUBSTITUTE(SUBSTITUTE(SUBSTITUTE(SUBSTITUTE(SUBSTITUTE(SUBSTITUTE(SUBSTITUTE(D32,"亚庇","Kota Kinabalu"),"公寓","Condo"),"排屋","Terrace"),"别墅","Villa"),"店铺","Shop"),"新山","Johor Bahru"),"市中心","City Centre"),"高级","Premium"),"单位","Unit"),"住宅","Residence"),"")</f>
        <v/>
      </c>
      <c r="Q32" s="31" t="str">
        <f aca="false">IF(D32&lt;&gt;"",SUBSTITUTE(SUBSTITUTE(SUBSTITUTE(SUBSTITUTE(SUBSTITUTE(SUBSTITUTE(SUBSTITUTE(SUBSTITUTE(SUBSTITUTE(SUBSTITUTE(D32,"亚庇","Kota Kinabalu"),"公寓","Kondominium"),"排屋","Rumah Teres"),"别墅","Vila"),"店铺","Kedai"),"新山","Johor Bahru"),"市中心","Pusat Bandar"),"高级","Premium"),"单位","Unit"),"住宅","Kediaman"),"")</f>
        <v/>
      </c>
      <c r="R32" s="31" t="str">
        <f aca="false">IF(D32&lt;&gt;"","📍 "&amp;IF(E32&lt;&gt;"",E32&amp;"房","")&amp;IF(F32&lt;&gt;"",F32&amp;"卫 ","")&amp;IF(G32&lt;&gt;"",G32&amp;" sqft","")&amp;IF(AND(OR(E32&lt;&gt;"",G32&lt;&gt;""),H32&lt;&gt;"")," · ","")&amp;IF(H32&lt;&gt;"",H32,""),"")</f>
        <v/>
      </c>
      <c r="S32" s="31" t="str">
        <f aca="false">IF(D32&lt;&gt;"","📍 "&amp;IF(E32&lt;&gt;"",E32&amp;"BR ","")&amp;IF(F32&lt;&gt;"",F32&amp;"BA ","")&amp;IF(G32&lt;&gt;"",G32&amp;" sqft","")&amp;IF(AND(OR(E32&lt;&gt;"",G32&lt;&gt;""),H32&lt;&gt;"")," · ","")&amp;IF(H32&lt;&gt;"",SUBSTITUTE(SUBSTITUTE(SUBSTITUTE(SUBSTITUTE(SUBSTITUTE(SUBSTITUTE(SUBSTITUTE(SUBSTITUTE(SUBSTITUTE(SUBSTITUTE(H32,"游泳池","Swimming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2" s="31" t="str">
        <f aca="false">IF(D32&lt;&gt;"","📍 "&amp;IF(E32&lt;&gt;"",E32&amp;"Bilik ","")&amp;IF(F32&lt;&gt;"",F32&amp;"Bilik Air ","")&amp;IF(G32&lt;&gt;"",G32&amp;" sqft","")&amp;IF(AND(OR(E32&lt;&gt;"",G32&lt;&gt;""),H32&lt;&gt;"")," · ","")&amp;IF(H32&lt;&gt;"",SUBSTITUTE(SUBSTITUTE(SUBSTITUTE(SUBSTITUTE(SUBSTITUTE(SUBSTITUTE(SUBSTITUTE(SUBSTITUTE(SUBSTITUTE(SUBSTITUTE(H32,"游泳池","Kolam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2" s="32" t="str">
        <f aca="false">IF(OR(I32&lt;&gt;"",J32&lt;&gt;"",K32&lt;&gt;""),"🔒 "&amp;IF(I32&lt;&gt;"",I32,"")&amp;IF(AND(I32&lt;&gt;"",J32&lt;&gt;"")," · ","")&amp;IF(J32&lt;&gt;"",J32,"")&amp;IF(AND(OR(I32&lt;&gt;"",J32&lt;&gt;""),K32&lt;&gt;"")," · ","")&amp;IF(K32&lt;&gt;"",K32,""),"")</f>
        <v/>
      </c>
      <c r="V32" s="31" t="str">
        <f aca="false">IF(L32&lt;&gt;"","💰 售价 RM "&amp;TEXT(L32,"#,##0"),"")</f>
        <v/>
      </c>
      <c r="W32" s="31" t="str">
        <f aca="false">IF(L32&lt;&gt;"","💰 Selling Price RM "&amp;TEXT(L32,"#,##0"),"")</f>
        <v/>
      </c>
      <c r="X32" s="31" t="str">
        <f aca="false">IF(L32&lt;&gt;"","💰 Harga Jualan RM "&amp;TEXT(L32,"#,##0"),"")</f>
        <v/>
      </c>
      <c r="Y32" s="33" t="str">
        <f aca="false">IF(D32&lt;&gt;"","您好！我想咨询购买：
🏠 "&amp;D32&amp;"
"&amp;IF(E32&lt;&gt;"","🛏 "&amp;E32&amp;"房"&amp;IF(F32&lt;&gt;""," "&amp;F32&amp;"卫","")&amp;"
","")&amp;IF(G32&lt;&gt;"","📐 "&amp;G32&amp;" sqft
","")&amp;IF(H32&lt;&gt;"","🏊 "&amp;H32&amp;"
","")&amp;IF(U32&lt;&gt;"",U32&amp;"
","")&amp;IF(L32&lt;&gt;"","💰 售价 RM "&amp;TEXT(L32,"#,##0")&amp;"
","")&amp;"
请问还有空档吗？谢谢！","")</f>
        <v/>
      </c>
      <c r="Z32" s="33" t="str">
        <f aca="false">IF(D32&lt;&gt;"","Hi! I'd like to make a purchase enquiry:
🏠 "&amp;P32&amp;"
"&amp;IF(E32&lt;&gt;"","🛏 "&amp;E32&amp;"BR"&amp;IF(F32&lt;&gt;""," "&amp;F32&amp;"BA","")&amp;"
","")&amp;IF(G32&lt;&gt;"","📐 "&amp;G32&amp;" sqft
","")&amp;IF(H32&lt;&gt;"","🏊 "&amp;SUBSTITUTE(SUBSTITUTE(SUBSTITUTE(SUBSTITUTE(SUBSTITUTE(SUBSTITUTE(SUBSTITUTE(SUBSTITUTE(SUBSTITUTE(SUBSTITUTE(H32,"游泳池","Swimming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","")&amp;IF(L32&lt;&gt;"","💰 Selling Price RM "&amp;TEXT(L32,"#,##0")&amp;"
","")&amp;"
Is this still available? Thank you!","")</f>
        <v/>
      </c>
      <c r="AA32" s="31"/>
      <c r="AB32" s="33" t="str">
        <f aca="false">IF(D32&lt;&gt;"","Helo! Saya ingin membuat pertanyaan pembelian:
🏠 "&amp;Q32&amp;"
"&amp;IF(E32&lt;&gt;"","🛏 "&amp;E32&amp;"Bilik"&amp;IF(F32&lt;&gt;""," "&amp;F32&amp;"Bilik Air","")&amp;"
","")&amp;IF(G32&lt;&gt;"","📐 "&amp;G32&amp;" sqft
","")&amp;IF(H32&lt;&gt;"","🏊 "&amp;SUBSTITUTE(SUBSTITUTE(SUBSTITUTE(SUBSTITUTE(SUBSTITUTE(SUBSTITUTE(SUBSTITUTE(SUBSTITUTE(SUBSTITUTE(SUBSTITUTE(H32,"游泳池","Kolam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","")&amp;IF(L32&lt;&gt;"","💰 Harga Jualan RM "&amp;TEXT(L32,"#,##0")&amp;"
","")&amp;"
Adakah masih tersedia? Terima kasih!","")</f>
        <v/>
      </c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9"/>
      <c r="J33" s="29"/>
      <c r="K33" s="29"/>
      <c r="L33" s="28"/>
      <c r="M33" s="30"/>
      <c r="N33" s="31" t="str">
        <f aca="false">IFERROR(ifs(B33="🏢 Condo 公寓","fa-building",B33="🏠 Apartment 单位","fa-home",B33="🌿 即租即住","fa-home",B33="🌿 近国际学校","fa-school",B33="📌 商业旺铺","fa-store",B33="🌟 海景豪宅","fa-water-ladder",B33="📈 投资优选","fa-chart-line",B33="🏞️ 花园住宅","fa-tree",B33="🌟 2026全新地标","fa-drafting-compass",B33="📈 海外投资优选","fa-globe",B33="🌆 核心地段","fa-city",B33="🔥 限时优惠","fa-fire",B33="✅ 永久产权","fa-certificate",B33="🏅 高回报","fa-medal",B33="🏖️ 度假胜地","fa-umbrella-beach",B33="🏫 学区优选","fa-graduation-cap",B33="🛣️ 交通便利","fa-road",B33="🔑 即买即住","fa-key"),"fa-home")</f>
        <v>fa-home</v>
      </c>
      <c r="O33" s="31" t="str">
        <f aca="false">IF(D33&lt;&gt;"",D33,"")</f>
        <v/>
      </c>
      <c r="P33" s="31" t="str">
        <f aca="false">IF(D33&lt;&gt;"",SUBSTITUTE(SUBSTITUTE(SUBSTITUTE(SUBSTITUTE(SUBSTITUTE(SUBSTITUTE(SUBSTITUTE(SUBSTITUTE(SUBSTITUTE(SUBSTITUTE(D33,"亚庇","Kota Kinabalu"),"公寓","Condo"),"排屋","Terrace"),"别墅","Villa"),"店铺","Shop"),"新山","Johor Bahru"),"市中心","City Centre"),"高级","Premium"),"单位","Unit"),"住宅","Residence"),"")</f>
        <v/>
      </c>
      <c r="Q33" s="31" t="str">
        <f aca="false">IF(D33&lt;&gt;"",SUBSTITUTE(SUBSTITUTE(SUBSTITUTE(SUBSTITUTE(SUBSTITUTE(SUBSTITUTE(SUBSTITUTE(SUBSTITUTE(SUBSTITUTE(SUBSTITUTE(D33,"亚庇","Kota Kinabalu"),"公寓","Kondominium"),"排屋","Rumah Teres"),"别墅","Vila"),"店铺","Kedai"),"新山","Johor Bahru"),"市中心","Pusat Bandar"),"高级","Premium"),"单位","Unit"),"住宅","Kediaman"),"")</f>
        <v/>
      </c>
      <c r="R33" s="31" t="str">
        <f aca="false">IF(D33&lt;&gt;"","📍 "&amp;IF(E33&lt;&gt;"",E33&amp;"房","")&amp;IF(F33&lt;&gt;"",F33&amp;"卫 ","")&amp;IF(G33&lt;&gt;"",G33&amp;" sqft","")&amp;IF(AND(OR(E33&lt;&gt;"",G33&lt;&gt;""),H33&lt;&gt;"")," · ","")&amp;IF(H33&lt;&gt;"",H33,""),"")</f>
        <v/>
      </c>
      <c r="S33" s="31" t="str">
        <f aca="false">IF(D33&lt;&gt;"","📍 "&amp;IF(E33&lt;&gt;"",E33&amp;"BR ","")&amp;IF(F33&lt;&gt;"",F33&amp;"BA ","")&amp;IF(G33&lt;&gt;"",G33&amp;" sqft","")&amp;IF(AND(OR(E33&lt;&gt;"",G33&lt;&gt;""),H33&lt;&gt;"")," · ","")&amp;IF(H33&lt;&gt;"",SUBSTITUTE(SUBSTITUTE(SUBSTITUTE(SUBSTITUTE(SUBSTITUTE(SUBSTITUTE(SUBSTITUTE(SUBSTITUTE(SUBSTITUTE(SUBSTITUTE(H33,"游泳池","Swimming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3" s="31" t="str">
        <f aca="false">IF(D33&lt;&gt;"","📍 "&amp;IF(E33&lt;&gt;"",E33&amp;"Bilik ","")&amp;IF(F33&lt;&gt;"",F33&amp;"Bilik Air ","")&amp;IF(G33&lt;&gt;"",G33&amp;" sqft","")&amp;IF(AND(OR(E33&lt;&gt;"",G33&lt;&gt;""),H33&lt;&gt;"")," · ","")&amp;IF(H33&lt;&gt;"",SUBSTITUTE(SUBSTITUTE(SUBSTITUTE(SUBSTITUTE(SUBSTITUTE(SUBSTITUTE(SUBSTITUTE(SUBSTITUTE(SUBSTITUTE(SUBSTITUTE(H33,"游泳池","Kolam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3" s="32" t="str">
        <f aca="false">IF(OR(I33&lt;&gt;"",J33&lt;&gt;"",K33&lt;&gt;""),"🔒 "&amp;IF(I33&lt;&gt;"",I33,"")&amp;IF(AND(I33&lt;&gt;"",J33&lt;&gt;"")," · ","")&amp;IF(J33&lt;&gt;"",J33,"")&amp;IF(AND(OR(I33&lt;&gt;"",J33&lt;&gt;""),K33&lt;&gt;"")," · ","")&amp;IF(K33&lt;&gt;"",K33,""),"")</f>
        <v/>
      </c>
      <c r="V33" s="31" t="str">
        <f aca="false">IF(L33&lt;&gt;"","💰 售价 RM "&amp;TEXT(L33,"#,##0"),"")</f>
        <v/>
      </c>
      <c r="W33" s="31" t="str">
        <f aca="false">IF(L33&lt;&gt;"","💰 Selling Price RM "&amp;TEXT(L33,"#,##0"),"")</f>
        <v/>
      </c>
      <c r="X33" s="31" t="str">
        <f aca="false">IF(L33&lt;&gt;"","💰 Harga Jualan RM "&amp;TEXT(L33,"#,##0"),"")</f>
        <v/>
      </c>
      <c r="Y33" s="33" t="str">
        <f aca="false">IF(D33&lt;&gt;"","您好！我想咨询购买：
🏠 "&amp;D33&amp;"
"&amp;IF(E33&lt;&gt;"","🛏 "&amp;E33&amp;"房"&amp;IF(F33&lt;&gt;""," "&amp;F33&amp;"卫","")&amp;"
","")&amp;IF(G33&lt;&gt;"","📐 "&amp;G33&amp;" sqft
","")&amp;IF(H33&lt;&gt;"","🏊 "&amp;H33&amp;"
","")&amp;IF(U33&lt;&gt;"",U33&amp;"
","")&amp;IF(L33&lt;&gt;"","💰 售价 RM "&amp;TEXT(L33,"#,##0")&amp;"
","")&amp;"
请问还有空档吗？谢谢！","")</f>
        <v/>
      </c>
      <c r="Z33" s="33" t="str">
        <f aca="false">IF(D33&lt;&gt;"","Hi! I'd like to make a purchase enquiry:
🏠 "&amp;P33&amp;"
"&amp;IF(E33&lt;&gt;"","🛏 "&amp;E33&amp;"BR"&amp;IF(F33&lt;&gt;""," "&amp;F33&amp;"BA","")&amp;"
","")&amp;IF(G33&lt;&gt;"","📐 "&amp;G33&amp;" sqft
","")&amp;IF(H33&lt;&gt;"","🏊 "&amp;SUBSTITUTE(SUBSTITUTE(SUBSTITUTE(SUBSTITUTE(SUBSTITUTE(SUBSTITUTE(SUBSTITUTE(SUBSTITUTE(SUBSTITUTE(SUBSTITUTE(H33,"游泳池","Swimming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","")&amp;IF(L33&lt;&gt;"","💰 Selling Price RM "&amp;TEXT(L33,"#,##0")&amp;"
","")&amp;"
Is this still available? Thank you!","")</f>
        <v/>
      </c>
      <c r="AA33" s="31"/>
      <c r="AB33" s="33" t="str">
        <f aca="false">IF(D33&lt;&gt;"","Helo! Saya ingin membuat pertanyaan pembelian:
🏠 "&amp;Q33&amp;"
"&amp;IF(E33&lt;&gt;"","🛏 "&amp;E33&amp;"Bilik"&amp;IF(F33&lt;&gt;""," "&amp;F33&amp;"Bilik Air","")&amp;"
","")&amp;IF(G33&lt;&gt;"","📐 "&amp;G33&amp;" sqft
","")&amp;IF(H33&lt;&gt;"","🏊 "&amp;SUBSTITUTE(SUBSTITUTE(SUBSTITUTE(SUBSTITUTE(SUBSTITUTE(SUBSTITUTE(SUBSTITUTE(SUBSTITUTE(SUBSTITUTE(SUBSTITUTE(H33,"游泳池","Kolam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","")&amp;IF(L33&lt;&gt;"","💰 Harga Jualan RM "&amp;TEXT(L33,"#,##0")&amp;"
","")&amp;"
Adakah masih tersedia? Terima kasih!","")</f>
        <v/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9"/>
      <c r="J34" s="29"/>
      <c r="K34" s="29"/>
      <c r="L34" s="28"/>
      <c r="M34" s="30"/>
      <c r="N34" s="31" t="str">
        <f aca="false">IFERROR(ifs(B34="🏢 Condo 公寓","fa-building",B34="🏠 Apartment 单位","fa-home",B34="🌿 即租即住","fa-home",B34="🌿 近国际学校","fa-school",B34="📌 商业旺铺","fa-store",B34="🌟 海景豪宅","fa-water-ladder",B34="📈 投资优选","fa-chart-line",B34="🏞️ 花园住宅","fa-tree",B34="🌟 2026全新地标","fa-drafting-compass",B34="📈 海外投资优选","fa-globe",B34="🌆 核心地段","fa-city",B34="🔥 限时优惠","fa-fire",B34="✅ 永久产权","fa-certificate",B34="🏅 高回报","fa-medal",B34="🏖️ 度假胜地","fa-umbrella-beach",B34="🏫 学区优选","fa-graduation-cap",B34="🛣️ 交通便利","fa-road",B34="🔑 即买即住","fa-key"),"fa-home")</f>
        <v>fa-home</v>
      </c>
      <c r="O34" s="31" t="str">
        <f aca="false">IF(D34&lt;&gt;"",D34,"")</f>
        <v/>
      </c>
      <c r="P34" s="31" t="str">
        <f aca="false">IF(D34&lt;&gt;"",SUBSTITUTE(SUBSTITUTE(SUBSTITUTE(SUBSTITUTE(SUBSTITUTE(SUBSTITUTE(SUBSTITUTE(SUBSTITUTE(SUBSTITUTE(SUBSTITUTE(D34,"亚庇","Kota Kinabalu"),"公寓","Condo"),"排屋","Terrace"),"别墅","Villa"),"店铺","Shop"),"新山","Johor Bahru"),"市中心","City Centre"),"高级","Premium"),"单位","Unit"),"住宅","Residence"),"")</f>
        <v/>
      </c>
      <c r="Q34" s="31" t="str">
        <f aca="false">IF(D34&lt;&gt;"",SUBSTITUTE(SUBSTITUTE(SUBSTITUTE(SUBSTITUTE(SUBSTITUTE(SUBSTITUTE(SUBSTITUTE(SUBSTITUTE(SUBSTITUTE(SUBSTITUTE(D34,"亚庇","Kota Kinabalu"),"公寓","Kondominium"),"排屋","Rumah Teres"),"别墅","Vila"),"店铺","Kedai"),"新山","Johor Bahru"),"市中心","Pusat Bandar"),"高级","Premium"),"单位","Unit"),"住宅","Kediaman"),"")</f>
        <v/>
      </c>
      <c r="R34" s="31" t="str">
        <f aca="false">IF(D34&lt;&gt;"","📍 "&amp;IF(E34&lt;&gt;"",E34&amp;"房","")&amp;IF(F34&lt;&gt;"",F34&amp;"卫 ","")&amp;IF(G34&lt;&gt;"",G34&amp;" sqft","")&amp;IF(AND(OR(E34&lt;&gt;"",G34&lt;&gt;""),H34&lt;&gt;"")," · ","")&amp;IF(H34&lt;&gt;"",H34,""),"")</f>
        <v/>
      </c>
      <c r="S34" s="31" t="str">
        <f aca="false">IF(D34&lt;&gt;"","📍 "&amp;IF(E34&lt;&gt;"",E34&amp;"BR ","")&amp;IF(F34&lt;&gt;"",F34&amp;"BA ","")&amp;IF(G34&lt;&gt;"",G34&amp;" sqft","")&amp;IF(AND(OR(E34&lt;&gt;"",G34&lt;&gt;""),H34&lt;&gt;"")," · ","")&amp;IF(H34&lt;&gt;"",SUBSTITUTE(SUBSTITUTE(SUBSTITUTE(SUBSTITUTE(SUBSTITUTE(SUBSTITUTE(SUBSTITUTE(SUBSTITUTE(SUBSTITUTE(SUBSTITUTE(H34,"游泳池","Swimming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4" s="31" t="str">
        <f aca="false">IF(D34&lt;&gt;"","📍 "&amp;IF(E34&lt;&gt;"",E34&amp;"Bilik ","")&amp;IF(F34&lt;&gt;"",F34&amp;"Bilik Air ","")&amp;IF(G34&lt;&gt;"",G34&amp;" sqft","")&amp;IF(AND(OR(E34&lt;&gt;"",G34&lt;&gt;""),H34&lt;&gt;"")," · ","")&amp;IF(H34&lt;&gt;"",SUBSTITUTE(SUBSTITUTE(SUBSTITUTE(SUBSTITUTE(SUBSTITUTE(SUBSTITUTE(SUBSTITUTE(SUBSTITUTE(SUBSTITUTE(SUBSTITUTE(H34,"游泳池","Kolam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4" s="32" t="str">
        <f aca="false">IF(OR(I34&lt;&gt;"",J34&lt;&gt;"",K34&lt;&gt;""),"🔒 "&amp;IF(I34&lt;&gt;"",I34,"")&amp;IF(AND(I34&lt;&gt;"",J34&lt;&gt;"")," · ","")&amp;IF(J34&lt;&gt;"",J34,"")&amp;IF(AND(OR(I34&lt;&gt;"",J34&lt;&gt;""),K34&lt;&gt;"")," · ","")&amp;IF(K34&lt;&gt;"",K34,""),"")</f>
        <v/>
      </c>
      <c r="V34" s="31" t="str">
        <f aca="false">IF(L34&lt;&gt;"","💰 售价 RM "&amp;TEXT(L34,"#,##0"),"")</f>
        <v/>
      </c>
      <c r="W34" s="31" t="str">
        <f aca="false">IF(L34&lt;&gt;"","💰 Selling Price RM "&amp;TEXT(L34,"#,##0"),"")</f>
        <v/>
      </c>
      <c r="X34" s="31" t="str">
        <f aca="false">IF(L34&lt;&gt;"","💰 Harga Jualan RM "&amp;TEXT(L34,"#,##0"),"")</f>
        <v/>
      </c>
      <c r="Y34" s="33" t="str">
        <f aca="false">IF(D34&lt;&gt;"","您好！我想咨询购买：
🏠 "&amp;D34&amp;"
"&amp;IF(E34&lt;&gt;"","🛏 "&amp;E34&amp;"房"&amp;IF(F34&lt;&gt;""," "&amp;F34&amp;"卫","")&amp;"
","")&amp;IF(G34&lt;&gt;"","📐 "&amp;G34&amp;" sqft
","")&amp;IF(H34&lt;&gt;"","🏊 "&amp;H34&amp;"
","")&amp;IF(U34&lt;&gt;"",U34&amp;"
","")&amp;IF(L34&lt;&gt;"","💰 售价 RM "&amp;TEXT(L34,"#,##0")&amp;"
","")&amp;"
请问还有空档吗？谢谢！","")</f>
        <v/>
      </c>
      <c r="Z34" s="33" t="str">
        <f aca="false">IF(D34&lt;&gt;"","Hi! I'd like to make a purchase enquiry:
🏠 "&amp;P34&amp;"
"&amp;IF(E34&lt;&gt;"","🛏 "&amp;E34&amp;"BR"&amp;IF(F34&lt;&gt;""," "&amp;F34&amp;"BA","")&amp;"
","")&amp;IF(G34&lt;&gt;"","📐 "&amp;G34&amp;" sqft
","")&amp;IF(H34&lt;&gt;"","🏊 "&amp;SUBSTITUTE(SUBSTITUTE(SUBSTITUTE(SUBSTITUTE(SUBSTITUTE(SUBSTITUTE(SUBSTITUTE(SUBSTITUTE(SUBSTITUTE(SUBSTITUTE(H34,"游泳池","Swimming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","")&amp;IF(L34&lt;&gt;"","💰 Selling Price RM "&amp;TEXT(L34,"#,##0")&amp;"
","")&amp;"
Is this still available? Thank you!","")</f>
        <v/>
      </c>
      <c r="AA34" s="31"/>
      <c r="AB34" s="33" t="str">
        <f aca="false">IF(D34&lt;&gt;"","Helo! Saya ingin membuat pertanyaan pembelian:
🏠 "&amp;Q34&amp;"
"&amp;IF(E34&lt;&gt;"","🛏 "&amp;E34&amp;"Bilik"&amp;IF(F34&lt;&gt;""," "&amp;F34&amp;"Bilik Air","")&amp;"
","")&amp;IF(G34&lt;&gt;"","📐 "&amp;G34&amp;" sqft
","")&amp;IF(H34&lt;&gt;"","🏊 "&amp;SUBSTITUTE(SUBSTITUTE(SUBSTITUTE(SUBSTITUTE(SUBSTITUTE(SUBSTITUTE(SUBSTITUTE(SUBSTITUTE(SUBSTITUTE(SUBSTITUTE(H34,"游泳池","Kolam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","")&amp;IF(L34&lt;&gt;"","💰 Harga Jualan RM "&amp;TEXT(L34,"#,##0")&amp;"
","")&amp;"
Adakah masih tersedia? Terima kasih!","")</f>
        <v/>
      </c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9"/>
      <c r="J35" s="29"/>
      <c r="K35" s="29"/>
      <c r="L35" s="28"/>
      <c r="M35" s="30"/>
      <c r="N35" s="31" t="str">
        <f aca="false">IFERROR(ifs(B35="🏢 Condo 公寓","fa-building",B35="🏠 Apartment 单位","fa-home",B35="🌿 即租即住","fa-home",B35="🌿 近国际学校","fa-school",B35="📌 商业旺铺","fa-store",B35="🌟 海景豪宅","fa-water-ladder",B35="📈 投资优选","fa-chart-line",B35="🏞️ 花园住宅","fa-tree",B35="🌟 2026全新地标","fa-drafting-compass",B35="📈 海外投资优选","fa-globe",B35="🌆 核心地段","fa-city",B35="🔥 限时优惠","fa-fire",B35="✅ 永久产权","fa-certificate",B35="🏅 高回报","fa-medal",B35="🏖️ 度假胜地","fa-umbrella-beach",B35="🏫 学区优选","fa-graduation-cap",B35="🛣️ 交通便利","fa-road",B35="🔑 即买即住","fa-key"),"fa-home")</f>
        <v>fa-home</v>
      </c>
      <c r="O35" s="31" t="str">
        <f aca="false">IF(D35&lt;&gt;"",D35,"")</f>
        <v/>
      </c>
      <c r="P35" s="31" t="str">
        <f aca="false">IF(D35&lt;&gt;"",SUBSTITUTE(SUBSTITUTE(SUBSTITUTE(SUBSTITUTE(SUBSTITUTE(SUBSTITUTE(SUBSTITUTE(SUBSTITUTE(SUBSTITUTE(SUBSTITUTE(D35,"亚庇","Kota Kinabalu"),"公寓","Condo"),"排屋","Terrace"),"别墅","Villa"),"店铺","Shop"),"新山","Johor Bahru"),"市中心","City Centre"),"高级","Premium"),"单位","Unit"),"住宅","Residence"),"")</f>
        <v/>
      </c>
      <c r="Q35" s="31" t="str">
        <f aca="false">IF(D35&lt;&gt;"",SUBSTITUTE(SUBSTITUTE(SUBSTITUTE(SUBSTITUTE(SUBSTITUTE(SUBSTITUTE(SUBSTITUTE(SUBSTITUTE(SUBSTITUTE(SUBSTITUTE(D35,"亚庇","Kota Kinabalu"),"公寓","Kondominium"),"排屋","Rumah Teres"),"别墅","Vila"),"店铺","Kedai"),"新山","Johor Bahru"),"市中心","Pusat Bandar"),"高级","Premium"),"单位","Unit"),"住宅","Kediaman"),"")</f>
        <v/>
      </c>
      <c r="R35" s="31" t="str">
        <f aca="false">IF(D35&lt;&gt;"","📍 "&amp;IF(E35&lt;&gt;"",E35&amp;"房","")&amp;IF(F35&lt;&gt;"",F35&amp;"卫 ","")&amp;IF(G35&lt;&gt;"",G35&amp;" sqft","")&amp;IF(AND(OR(E35&lt;&gt;"",G35&lt;&gt;""),H35&lt;&gt;"")," · ","")&amp;IF(H35&lt;&gt;"",H35,""),"")</f>
        <v/>
      </c>
      <c r="S35" s="31" t="str">
        <f aca="false">IF(D35&lt;&gt;"","📍 "&amp;IF(E35&lt;&gt;"",E35&amp;"BR ","")&amp;IF(F35&lt;&gt;"",F35&amp;"BA ","")&amp;IF(G35&lt;&gt;"",G35&amp;" sqft","")&amp;IF(AND(OR(E35&lt;&gt;"",G35&lt;&gt;""),H35&lt;&gt;"")," · ","")&amp;IF(H35&lt;&gt;"",SUBSTITUTE(SUBSTITUTE(SUBSTITUTE(SUBSTITUTE(SUBSTITUTE(SUBSTITUTE(SUBSTITUTE(SUBSTITUTE(SUBSTITUTE(SUBSTITUTE(H35,"游泳池","Swimming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5" s="31" t="str">
        <f aca="false">IF(D35&lt;&gt;"","📍 "&amp;IF(E35&lt;&gt;"",E35&amp;"Bilik ","")&amp;IF(F35&lt;&gt;"",F35&amp;"Bilik Air ","")&amp;IF(G35&lt;&gt;"",G35&amp;" sqft","")&amp;IF(AND(OR(E35&lt;&gt;"",G35&lt;&gt;""),H35&lt;&gt;"")," · ","")&amp;IF(H35&lt;&gt;"",SUBSTITUTE(SUBSTITUTE(SUBSTITUTE(SUBSTITUTE(SUBSTITUTE(SUBSTITUTE(SUBSTITUTE(SUBSTITUTE(SUBSTITUTE(SUBSTITUTE(H35,"游泳池","Kolam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5" s="32" t="str">
        <f aca="false">IF(OR(I35&lt;&gt;"",J35&lt;&gt;"",K35&lt;&gt;""),"🔒 "&amp;IF(I35&lt;&gt;"",I35,"")&amp;IF(AND(I35&lt;&gt;"",J35&lt;&gt;"")," · ","")&amp;IF(J35&lt;&gt;"",J35,"")&amp;IF(AND(OR(I35&lt;&gt;"",J35&lt;&gt;""),K35&lt;&gt;"")," · ","")&amp;IF(K35&lt;&gt;"",K35,""),"")</f>
        <v/>
      </c>
      <c r="V35" s="31" t="str">
        <f aca="false">IF(L35&lt;&gt;"","💰 售价 RM "&amp;TEXT(L35,"#,##0"),"")</f>
        <v/>
      </c>
      <c r="W35" s="31" t="str">
        <f aca="false">IF(L35&lt;&gt;"","💰 Selling Price RM "&amp;TEXT(L35,"#,##0"),"")</f>
        <v/>
      </c>
      <c r="X35" s="31" t="str">
        <f aca="false">IF(L35&lt;&gt;"","💰 Harga Jualan RM "&amp;TEXT(L35,"#,##0"),"")</f>
        <v/>
      </c>
      <c r="Y35" s="33" t="str">
        <f aca="false">IF(D35&lt;&gt;"","您好！我想咨询购买：
🏠 "&amp;D35&amp;"
"&amp;IF(E35&lt;&gt;"","🛏 "&amp;E35&amp;"房"&amp;IF(F35&lt;&gt;""," "&amp;F35&amp;"卫","")&amp;"
","")&amp;IF(G35&lt;&gt;"","📐 "&amp;G35&amp;" sqft
","")&amp;IF(H35&lt;&gt;"","🏊 "&amp;H35&amp;"
","")&amp;IF(U35&lt;&gt;"",U35&amp;"
","")&amp;IF(L35&lt;&gt;"","💰 售价 RM "&amp;TEXT(L35,"#,##0")&amp;"
","")&amp;"
请问还有空档吗？谢谢！","")</f>
        <v/>
      </c>
      <c r="Z35" s="33" t="str">
        <f aca="false">IF(D35&lt;&gt;"","Hi! I'd like to make a purchase enquiry:
🏠 "&amp;P35&amp;"
"&amp;IF(E35&lt;&gt;"","🛏 "&amp;E35&amp;"BR"&amp;IF(F35&lt;&gt;""," "&amp;F35&amp;"BA","")&amp;"
","")&amp;IF(G35&lt;&gt;"","📐 "&amp;G35&amp;" sqft
","")&amp;IF(H35&lt;&gt;"","🏊 "&amp;SUBSTITUTE(SUBSTITUTE(SUBSTITUTE(SUBSTITUTE(SUBSTITUTE(SUBSTITUTE(SUBSTITUTE(SUBSTITUTE(SUBSTITUTE(SUBSTITUTE(H35,"游泳池","Swimming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","")&amp;IF(L35&lt;&gt;"","💰 Selling Price RM "&amp;TEXT(L35,"#,##0")&amp;"
","")&amp;"
Is this still available? Thank you!","")</f>
        <v/>
      </c>
      <c r="AA35" s="31"/>
      <c r="AB35" s="33" t="str">
        <f aca="false">IF(D35&lt;&gt;"","Helo! Saya ingin membuat pertanyaan pembelian:
🏠 "&amp;Q35&amp;"
"&amp;IF(E35&lt;&gt;"","🛏 "&amp;E35&amp;"Bilik"&amp;IF(F35&lt;&gt;""," "&amp;F35&amp;"Bilik Air","")&amp;"
","")&amp;IF(G35&lt;&gt;"","📐 "&amp;G35&amp;" sqft
","")&amp;IF(H35&lt;&gt;"","🏊 "&amp;SUBSTITUTE(SUBSTITUTE(SUBSTITUTE(SUBSTITUTE(SUBSTITUTE(SUBSTITUTE(SUBSTITUTE(SUBSTITUTE(SUBSTITUTE(SUBSTITUTE(H35,"游泳池","Kolam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","")&amp;IF(L35&lt;&gt;"","💰 Harga Jualan RM "&amp;TEXT(L35,"#,##0")&amp;"
","")&amp;"
Adakah masih tersedia? Terima kasih!","")</f>
        <v/>
      </c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9"/>
      <c r="J36" s="29"/>
      <c r="K36" s="29"/>
      <c r="L36" s="28"/>
      <c r="M36" s="30"/>
      <c r="N36" s="31" t="str">
        <f aca="false">IFERROR(ifs(B36="🏢 Condo 公寓","fa-building",B36="🏠 Apartment 单位","fa-home",B36="🌿 即租即住","fa-home",B36="🌿 近国际学校","fa-school",B36="📌 商业旺铺","fa-store",B36="🌟 海景豪宅","fa-water-ladder",B36="📈 投资优选","fa-chart-line",B36="🏞️ 花园住宅","fa-tree",B36="🌟 2026全新地标","fa-drafting-compass",B36="📈 海外投资优选","fa-globe",B36="🌆 核心地段","fa-city",B36="🔥 限时优惠","fa-fire",B36="✅ 永久产权","fa-certificate",B36="🏅 高回报","fa-medal",B36="🏖️ 度假胜地","fa-umbrella-beach",B36="🏫 学区优选","fa-graduation-cap",B36="🛣️ 交通便利","fa-road",B36="🔑 即买即住","fa-key"),"fa-home")</f>
        <v>fa-home</v>
      </c>
      <c r="O36" s="31" t="str">
        <f aca="false">IF(D36&lt;&gt;"",D36,"")</f>
        <v/>
      </c>
      <c r="P36" s="31" t="str">
        <f aca="false">IF(D36&lt;&gt;"",SUBSTITUTE(SUBSTITUTE(SUBSTITUTE(SUBSTITUTE(SUBSTITUTE(SUBSTITUTE(SUBSTITUTE(SUBSTITUTE(SUBSTITUTE(SUBSTITUTE(D36,"亚庇","Kota Kinabalu"),"公寓","Condo"),"排屋","Terrace"),"别墅","Villa"),"店铺","Shop"),"新山","Johor Bahru"),"市中心","City Centre"),"高级","Premium"),"单位","Unit"),"住宅","Residence"),"")</f>
        <v/>
      </c>
      <c r="Q36" s="31" t="str">
        <f aca="false">IF(D36&lt;&gt;"",SUBSTITUTE(SUBSTITUTE(SUBSTITUTE(SUBSTITUTE(SUBSTITUTE(SUBSTITUTE(SUBSTITUTE(SUBSTITUTE(SUBSTITUTE(SUBSTITUTE(D36,"亚庇","Kota Kinabalu"),"公寓","Kondominium"),"排屋","Rumah Teres"),"别墅","Vila"),"店铺","Kedai"),"新山","Johor Bahru"),"市中心","Pusat Bandar"),"高级","Premium"),"单位","Unit"),"住宅","Kediaman"),"")</f>
        <v/>
      </c>
      <c r="R36" s="31" t="str">
        <f aca="false">IF(D36&lt;&gt;"","📍 "&amp;IF(E36&lt;&gt;"",E36&amp;"房","")&amp;IF(F36&lt;&gt;"",F36&amp;"卫 ","")&amp;IF(G36&lt;&gt;"",G36&amp;" sqft","")&amp;IF(AND(OR(E36&lt;&gt;"",G36&lt;&gt;""),H36&lt;&gt;"")," · ","")&amp;IF(H36&lt;&gt;"",H36,""),"")</f>
        <v/>
      </c>
      <c r="S36" s="31" t="str">
        <f aca="false">IF(D36&lt;&gt;"","📍 "&amp;IF(E36&lt;&gt;"",E36&amp;"BR ","")&amp;IF(F36&lt;&gt;"",F36&amp;"BA ","")&amp;IF(G36&lt;&gt;"",G36&amp;" sqft","")&amp;IF(AND(OR(E36&lt;&gt;"",G36&lt;&gt;""),H36&lt;&gt;"")," · ","")&amp;IF(H36&lt;&gt;"",SUBSTITUTE(SUBSTITUTE(SUBSTITUTE(SUBSTITUTE(SUBSTITUTE(SUBSTITUTE(SUBSTITUTE(SUBSTITUTE(SUBSTITUTE(SUBSTITUTE(H36,"游泳池","Swimming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6" s="31" t="str">
        <f aca="false">IF(D36&lt;&gt;"","📍 "&amp;IF(E36&lt;&gt;"",E36&amp;"Bilik ","")&amp;IF(F36&lt;&gt;"",F36&amp;"Bilik Air ","")&amp;IF(G36&lt;&gt;"",G36&amp;" sqft","")&amp;IF(AND(OR(E36&lt;&gt;"",G36&lt;&gt;""),H36&lt;&gt;"")," · ","")&amp;IF(H36&lt;&gt;"",SUBSTITUTE(SUBSTITUTE(SUBSTITUTE(SUBSTITUTE(SUBSTITUTE(SUBSTITUTE(SUBSTITUTE(SUBSTITUTE(SUBSTITUTE(SUBSTITUTE(H36,"游泳池","Kolam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6" s="32" t="str">
        <f aca="false">IF(OR(I36&lt;&gt;"",J36&lt;&gt;"",K36&lt;&gt;""),"🔒 "&amp;IF(I36&lt;&gt;"",I36,"")&amp;IF(AND(I36&lt;&gt;"",J36&lt;&gt;"")," · ","")&amp;IF(J36&lt;&gt;"",J36,"")&amp;IF(AND(OR(I36&lt;&gt;"",J36&lt;&gt;""),K36&lt;&gt;"")," · ","")&amp;IF(K36&lt;&gt;"",K36,""),"")</f>
        <v/>
      </c>
      <c r="V36" s="31" t="str">
        <f aca="false">IF(L36&lt;&gt;"","💰 售价 RM "&amp;TEXT(L36,"#,##0"),"")</f>
        <v/>
      </c>
      <c r="W36" s="31" t="str">
        <f aca="false">IF(L36&lt;&gt;"","💰 Selling Price RM "&amp;TEXT(L36,"#,##0"),"")</f>
        <v/>
      </c>
      <c r="X36" s="31" t="str">
        <f aca="false">IF(L36&lt;&gt;"","💰 Harga Jualan RM "&amp;TEXT(L36,"#,##0"),"")</f>
        <v/>
      </c>
      <c r="Y36" s="33" t="str">
        <f aca="false">IF(D36&lt;&gt;"","您好！我想咨询购买：
🏠 "&amp;D36&amp;"
"&amp;IF(E36&lt;&gt;"","🛏 "&amp;E36&amp;"房"&amp;IF(F36&lt;&gt;""," "&amp;F36&amp;"卫","")&amp;"
","")&amp;IF(G36&lt;&gt;"","📐 "&amp;G36&amp;" sqft
","")&amp;IF(H36&lt;&gt;"","🏊 "&amp;H36&amp;"
","")&amp;IF(U36&lt;&gt;"",U36&amp;"
","")&amp;IF(L36&lt;&gt;"","💰 售价 RM "&amp;TEXT(L36,"#,##0")&amp;"
","")&amp;"
请问还有空档吗？谢谢！","")</f>
        <v/>
      </c>
      <c r="Z36" s="33" t="str">
        <f aca="false">IF(D36&lt;&gt;"","Hi! I'd like to make a purchase enquiry:
🏠 "&amp;P36&amp;"
"&amp;IF(E36&lt;&gt;"","🛏 "&amp;E36&amp;"BR"&amp;IF(F36&lt;&gt;""," "&amp;F36&amp;"BA","")&amp;"
","")&amp;IF(G36&lt;&gt;"","📐 "&amp;G36&amp;" sqft
","")&amp;IF(H36&lt;&gt;"","🏊 "&amp;SUBSTITUTE(SUBSTITUTE(SUBSTITUTE(SUBSTITUTE(SUBSTITUTE(SUBSTITUTE(SUBSTITUTE(SUBSTITUTE(SUBSTITUTE(SUBSTITUTE(H36,"游泳池","Swimming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","")&amp;IF(L36&lt;&gt;"","💰 Selling Price RM "&amp;TEXT(L36,"#,##0")&amp;"
","")&amp;"
Is this still available? Thank you!","")</f>
        <v/>
      </c>
      <c r="AA36" s="31"/>
      <c r="AB36" s="33" t="str">
        <f aca="false">IF(D36&lt;&gt;"","Helo! Saya ingin membuat pertanyaan pembelian:
🏠 "&amp;Q36&amp;"
"&amp;IF(E36&lt;&gt;"","🛏 "&amp;E36&amp;"Bilik"&amp;IF(F36&lt;&gt;""," "&amp;F36&amp;"Bilik Air","")&amp;"
","")&amp;IF(G36&lt;&gt;"","📐 "&amp;G36&amp;" sqft
","")&amp;IF(H36&lt;&gt;"","🏊 "&amp;SUBSTITUTE(SUBSTITUTE(SUBSTITUTE(SUBSTITUTE(SUBSTITUTE(SUBSTITUTE(SUBSTITUTE(SUBSTITUTE(SUBSTITUTE(SUBSTITUTE(H36,"游泳池","Kolam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","")&amp;IF(L36&lt;&gt;"","💰 Harga Jualan RM "&amp;TEXT(L36,"#,##0")&amp;"
","")&amp;"
Adakah masih tersedia? Terima kasih!","")</f>
        <v/>
      </c>
    </row>
    <row r="37" customFormat="false" ht="1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9"/>
      <c r="J37" s="29"/>
      <c r="K37" s="29"/>
      <c r="L37" s="28"/>
      <c r="M37" s="30"/>
      <c r="N37" s="31" t="str">
        <f aca="false">IFERROR(ifs(B37="🏢 Condo 公寓","fa-building",B37="🏠 Apartment 单位","fa-home",B37="🌿 即租即住","fa-home",B37="🌿 近国际学校","fa-school",B37="📌 商业旺铺","fa-store",B37="🌟 海景豪宅","fa-water-ladder",B37="📈 投资优选","fa-chart-line",B37="🏞️ 花园住宅","fa-tree",B37="🌟 2026全新地标","fa-drafting-compass",B37="📈 海外投资优选","fa-globe",B37="🌆 核心地段","fa-city",B37="🔥 限时优惠","fa-fire",B37="✅ 永久产权","fa-certificate",B37="🏅 高回报","fa-medal",B37="🏖️ 度假胜地","fa-umbrella-beach",B37="🏫 学区优选","fa-graduation-cap",B37="🛣️ 交通便利","fa-road",B37="🔑 即买即住","fa-key"),"fa-home")</f>
        <v>fa-home</v>
      </c>
      <c r="O37" s="31" t="str">
        <f aca="false">IF(D37&lt;&gt;"",D37,"")</f>
        <v/>
      </c>
      <c r="P37" s="31" t="str">
        <f aca="false">IF(D37&lt;&gt;"",SUBSTITUTE(SUBSTITUTE(SUBSTITUTE(SUBSTITUTE(SUBSTITUTE(SUBSTITUTE(SUBSTITUTE(SUBSTITUTE(SUBSTITUTE(SUBSTITUTE(D37,"亚庇","Kota Kinabalu"),"公寓","Condo"),"排屋","Terrace"),"别墅","Villa"),"店铺","Shop"),"新山","Johor Bahru"),"市中心","City Centre"),"高级","Premium"),"单位","Unit"),"住宅","Residence"),"")</f>
        <v/>
      </c>
      <c r="Q37" s="31" t="str">
        <f aca="false">IF(D37&lt;&gt;"",SUBSTITUTE(SUBSTITUTE(SUBSTITUTE(SUBSTITUTE(SUBSTITUTE(SUBSTITUTE(SUBSTITUTE(SUBSTITUTE(SUBSTITUTE(SUBSTITUTE(D37,"亚庇","Kota Kinabalu"),"公寓","Kondominium"),"排屋","Rumah Teres"),"别墅","Vila"),"店铺","Kedai"),"新山","Johor Bahru"),"市中心","Pusat Bandar"),"高级","Premium"),"单位","Unit"),"住宅","Kediaman"),"")</f>
        <v/>
      </c>
      <c r="R37" s="31" t="str">
        <f aca="false">IF(D37&lt;&gt;"","📍 "&amp;IF(E37&lt;&gt;"",E37&amp;"房","")&amp;IF(F37&lt;&gt;"",F37&amp;"卫 ","")&amp;IF(G37&lt;&gt;"",G37&amp;" sqft","")&amp;IF(AND(OR(E37&lt;&gt;"",G37&lt;&gt;""),H37&lt;&gt;"")," · ","")&amp;IF(H37&lt;&gt;"",H37,""),"")</f>
        <v/>
      </c>
      <c r="S37" s="31" t="str">
        <f aca="false">IF(D37&lt;&gt;"","📍 "&amp;IF(E37&lt;&gt;"",E37&amp;"BR ","")&amp;IF(F37&lt;&gt;"",F37&amp;"BA ","")&amp;IF(G37&lt;&gt;"",G37&amp;" sqft","")&amp;IF(AND(OR(E37&lt;&gt;"",G37&lt;&gt;""),H37&lt;&gt;"")," · ","")&amp;IF(H37&lt;&gt;"",SUBSTITUTE(SUBSTITUTE(SUBSTITUTE(SUBSTITUTE(SUBSTITUTE(SUBSTITUTE(SUBSTITUTE(SUBSTITUTE(SUBSTITUTE(SUBSTITUTE(H37,"游泳池","Swimming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7" s="31" t="str">
        <f aca="false">IF(D37&lt;&gt;"","📍 "&amp;IF(E37&lt;&gt;"",E37&amp;"Bilik ","")&amp;IF(F37&lt;&gt;"",F37&amp;"Bilik Air ","")&amp;IF(G37&lt;&gt;"",G37&amp;" sqft","")&amp;IF(AND(OR(E37&lt;&gt;"",G37&lt;&gt;""),H37&lt;&gt;"")," · ","")&amp;IF(H37&lt;&gt;"",SUBSTITUTE(SUBSTITUTE(SUBSTITUTE(SUBSTITUTE(SUBSTITUTE(SUBSTITUTE(SUBSTITUTE(SUBSTITUTE(SUBSTITUTE(SUBSTITUTE(H37,"游泳池","Kolam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7" s="32" t="str">
        <f aca="false">IF(OR(I37&lt;&gt;"",J37&lt;&gt;"",K37&lt;&gt;""),"🔒 "&amp;IF(I37&lt;&gt;"",I37,"")&amp;IF(AND(I37&lt;&gt;"",J37&lt;&gt;"")," · ","")&amp;IF(J37&lt;&gt;"",J37,"")&amp;IF(AND(OR(I37&lt;&gt;"",J37&lt;&gt;""),K37&lt;&gt;"")," · ","")&amp;IF(K37&lt;&gt;"",K37,""),"")</f>
        <v/>
      </c>
      <c r="V37" s="31" t="str">
        <f aca="false">IF(L37&lt;&gt;"","💰 售价 RM "&amp;TEXT(L37,"#,##0"),"")</f>
        <v/>
      </c>
      <c r="W37" s="31" t="str">
        <f aca="false">IF(L37&lt;&gt;"","💰 Selling Price RM "&amp;TEXT(L37,"#,##0"),"")</f>
        <v/>
      </c>
      <c r="X37" s="31" t="str">
        <f aca="false">IF(L37&lt;&gt;"","💰 Harga Jualan RM "&amp;TEXT(L37,"#,##0"),"")</f>
        <v/>
      </c>
      <c r="Y37" s="33" t="str">
        <f aca="false">IF(D37&lt;&gt;"","您好！我想咨询购买：
🏠 "&amp;D37&amp;"
"&amp;IF(E37&lt;&gt;"","🛏 "&amp;E37&amp;"房"&amp;IF(F37&lt;&gt;""," "&amp;F37&amp;"卫","")&amp;"
","")&amp;IF(G37&lt;&gt;"","📐 "&amp;G37&amp;" sqft
","")&amp;IF(H37&lt;&gt;"","🏊 "&amp;H37&amp;"
","")&amp;IF(U37&lt;&gt;"",U37&amp;"
","")&amp;IF(L37&lt;&gt;"","💰 售价 RM "&amp;TEXT(L37,"#,##0")&amp;"
","")&amp;"
请问还有空档吗？谢谢！","")</f>
        <v/>
      </c>
      <c r="Z37" s="33" t="str">
        <f aca="false">IF(D37&lt;&gt;"","Hi! I'd like to make a purchase enquiry:
🏠 "&amp;P37&amp;"
"&amp;IF(E37&lt;&gt;"","🛏 "&amp;E37&amp;"BR"&amp;IF(F37&lt;&gt;""," "&amp;F37&amp;"BA","")&amp;"
","")&amp;IF(G37&lt;&gt;"","📐 "&amp;G37&amp;" sqft
","")&amp;IF(H37&lt;&gt;"","🏊 "&amp;SUBSTITUTE(SUBSTITUTE(SUBSTITUTE(SUBSTITUTE(SUBSTITUTE(SUBSTITUTE(SUBSTITUTE(SUBSTITUTE(SUBSTITUTE(SUBSTITUTE(H37,"游泳池","Swimming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","")&amp;IF(L37&lt;&gt;"","💰 Selling Price RM "&amp;TEXT(L37,"#,##0")&amp;"
","")&amp;"
Is this still available? Thank you!","")</f>
        <v/>
      </c>
      <c r="AA37" s="31"/>
      <c r="AB37" s="33" t="str">
        <f aca="false">IF(D37&lt;&gt;"","Helo! Saya ingin membuat pertanyaan pembelian:
🏠 "&amp;Q37&amp;"
"&amp;IF(E37&lt;&gt;"","🛏 "&amp;E37&amp;"Bilik"&amp;IF(F37&lt;&gt;""," "&amp;F37&amp;"Bilik Air","")&amp;"
","")&amp;IF(G37&lt;&gt;"","📐 "&amp;G37&amp;" sqft
","")&amp;IF(H37&lt;&gt;"","🏊 "&amp;SUBSTITUTE(SUBSTITUTE(SUBSTITUTE(SUBSTITUTE(SUBSTITUTE(SUBSTITUTE(SUBSTITUTE(SUBSTITUTE(SUBSTITUTE(SUBSTITUTE(H37,"游泳池","Kolam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","")&amp;IF(L37&lt;&gt;"","💰 Harga Jualan RM "&amp;TEXT(L37,"#,##0")&amp;"
","")&amp;"
Adakah masih tersedia? Terima kasih!","")</f>
        <v/>
      </c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9"/>
      <c r="J38" s="29"/>
      <c r="K38" s="29"/>
      <c r="L38" s="28"/>
      <c r="M38" s="30"/>
      <c r="N38" s="31" t="str">
        <f aca="false">IFERROR(ifs(B38="🏢 Condo 公寓","fa-building",B38="🏠 Apartment 单位","fa-home",B38="🌿 即租即住","fa-home",B38="🌿 近国际学校","fa-school",B38="📌 商业旺铺","fa-store",B38="🌟 海景豪宅","fa-water-ladder",B38="📈 投资优选","fa-chart-line",B38="🏞️ 花园住宅","fa-tree",B38="🌟 2026全新地标","fa-drafting-compass",B38="📈 海外投资优选","fa-globe",B38="🌆 核心地段","fa-city",B38="🔥 限时优惠","fa-fire",B38="✅ 永久产权","fa-certificate",B38="🏅 高回报","fa-medal",B38="🏖️ 度假胜地","fa-umbrella-beach",B38="🏫 学区优选","fa-graduation-cap",B38="🛣️ 交通便利","fa-road",B38="🔑 即买即住","fa-key"),"fa-home")</f>
        <v>fa-home</v>
      </c>
      <c r="O38" s="31" t="str">
        <f aca="false">IF(D38&lt;&gt;"",D38,"")</f>
        <v/>
      </c>
      <c r="P38" s="31" t="str">
        <f aca="false">IF(D38&lt;&gt;"",SUBSTITUTE(SUBSTITUTE(SUBSTITUTE(SUBSTITUTE(SUBSTITUTE(SUBSTITUTE(SUBSTITUTE(SUBSTITUTE(SUBSTITUTE(SUBSTITUTE(D38,"亚庇","Kota Kinabalu"),"公寓","Condo"),"排屋","Terrace"),"别墅","Villa"),"店铺","Shop"),"新山","Johor Bahru"),"市中心","City Centre"),"高级","Premium"),"单位","Unit"),"住宅","Residence"),"")</f>
        <v/>
      </c>
      <c r="Q38" s="31" t="str">
        <f aca="false">IF(D38&lt;&gt;"",SUBSTITUTE(SUBSTITUTE(SUBSTITUTE(SUBSTITUTE(SUBSTITUTE(SUBSTITUTE(SUBSTITUTE(SUBSTITUTE(SUBSTITUTE(SUBSTITUTE(D38,"亚庇","Kota Kinabalu"),"公寓","Kondominium"),"排屋","Rumah Teres"),"别墅","Vila"),"店铺","Kedai"),"新山","Johor Bahru"),"市中心","Pusat Bandar"),"高级","Premium"),"单位","Unit"),"住宅","Kediaman"),"")</f>
        <v/>
      </c>
      <c r="R38" s="31" t="str">
        <f aca="false">IF(D38&lt;&gt;"","📍 "&amp;IF(E38&lt;&gt;"",E38&amp;"房","")&amp;IF(F38&lt;&gt;"",F38&amp;"卫 ","")&amp;IF(G38&lt;&gt;"",G38&amp;" sqft","")&amp;IF(AND(OR(E38&lt;&gt;"",G38&lt;&gt;""),H38&lt;&gt;"")," · ","")&amp;IF(H38&lt;&gt;"",H38,""),"")</f>
        <v/>
      </c>
      <c r="S38" s="31" t="str">
        <f aca="false">IF(D38&lt;&gt;"","📍 "&amp;IF(E38&lt;&gt;"",E38&amp;"BR ","")&amp;IF(F38&lt;&gt;"",F38&amp;"BA ","")&amp;IF(G38&lt;&gt;"",G38&amp;" sqft","")&amp;IF(AND(OR(E38&lt;&gt;"",G38&lt;&gt;""),H38&lt;&gt;"")," · ","")&amp;IF(H38&lt;&gt;"",SUBSTITUTE(SUBSTITUTE(SUBSTITUTE(SUBSTITUTE(SUBSTITUTE(SUBSTITUTE(SUBSTITUTE(SUBSTITUTE(SUBSTITUTE(SUBSTITUTE(H38,"游泳池","Swimming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8" s="31" t="str">
        <f aca="false">IF(D38&lt;&gt;"","📍 "&amp;IF(E38&lt;&gt;"",E38&amp;"Bilik ","")&amp;IF(F38&lt;&gt;"",F38&amp;"Bilik Air ","")&amp;IF(G38&lt;&gt;"",G38&amp;" sqft","")&amp;IF(AND(OR(E38&lt;&gt;"",G38&lt;&gt;""),H38&lt;&gt;"")," · ","")&amp;IF(H38&lt;&gt;"",SUBSTITUTE(SUBSTITUTE(SUBSTITUTE(SUBSTITUTE(SUBSTITUTE(SUBSTITUTE(SUBSTITUTE(SUBSTITUTE(SUBSTITUTE(SUBSTITUTE(H38,"游泳池","Kolam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8" s="32" t="str">
        <f aca="false">IF(OR(I38&lt;&gt;"",J38&lt;&gt;"",K38&lt;&gt;""),"🔒 "&amp;IF(I38&lt;&gt;"",I38,"")&amp;IF(AND(I38&lt;&gt;"",J38&lt;&gt;"")," · ","")&amp;IF(J38&lt;&gt;"",J38,"")&amp;IF(AND(OR(I38&lt;&gt;"",J38&lt;&gt;""),K38&lt;&gt;"")," · ","")&amp;IF(K38&lt;&gt;"",K38,""),"")</f>
        <v/>
      </c>
      <c r="V38" s="31" t="str">
        <f aca="false">IF(L38&lt;&gt;"","💰 售价 RM "&amp;TEXT(L38,"#,##0"),"")</f>
        <v/>
      </c>
      <c r="W38" s="31" t="str">
        <f aca="false">IF(L38&lt;&gt;"","💰 Selling Price RM "&amp;TEXT(L38,"#,##0"),"")</f>
        <v/>
      </c>
      <c r="X38" s="31" t="str">
        <f aca="false">IF(L38&lt;&gt;"","💰 Harga Jualan RM "&amp;TEXT(L38,"#,##0"),"")</f>
        <v/>
      </c>
      <c r="Y38" s="33" t="str">
        <f aca="false">IF(D38&lt;&gt;"","您好！我想咨询购买：
🏠 "&amp;D38&amp;"
"&amp;IF(E38&lt;&gt;"","🛏 "&amp;E38&amp;"房"&amp;IF(F38&lt;&gt;""," "&amp;F38&amp;"卫","")&amp;"
","")&amp;IF(G38&lt;&gt;"","📐 "&amp;G38&amp;" sqft
","")&amp;IF(H38&lt;&gt;"","🏊 "&amp;H38&amp;"
","")&amp;IF(U38&lt;&gt;"",U38&amp;"
","")&amp;IF(L38&lt;&gt;"","💰 售价 RM "&amp;TEXT(L38,"#,##0")&amp;"
","")&amp;"
请问还有空档吗？谢谢！","")</f>
        <v/>
      </c>
      <c r="Z38" s="33" t="str">
        <f aca="false">IF(D38&lt;&gt;"","Hi! I'd like to make a purchase enquiry:
🏠 "&amp;P38&amp;"
"&amp;IF(E38&lt;&gt;"","🛏 "&amp;E38&amp;"BR"&amp;IF(F38&lt;&gt;""," "&amp;F38&amp;"BA","")&amp;"
","")&amp;IF(G38&lt;&gt;"","📐 "&amp;G38&amp;" sqft
","")&amp;IF(H38&lt;&gt;"","🏊 "&amp;SUBSTITUTE(SUBSTITUTE(SUBSTITUTE(SUBSTITUTE(SUBSTITUTE(SUBSTITUTE(SUBSTITUTE(SUBSTITUTE(SUBSTITUTE(SUBSTITUTE(H38,"游泳池","Swimming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","")&amp;IF(L38&lt;&gt;"","💰 Selling Price RM "&amp;TEXT(L38,"#,##0")&amp;"
","")&amp;"
Is this still available? Thank you!","")</f>
        <v/>
      </c>
      <c r="AA38" s="31"/>
      <c r="AB38" s="33" t="str">
        <f aca="false">IF(D38&lt;&gt;"","Helo! Saya ingin membuat pertanyaan pembelian:
🏠 "&amp;Q38&amp;"
"&amp;IF(E38&lt;&gt;"","🛏 "&amp;E38&amp;"Bilik"&amp;IF(F38&lt;&gt;""," "&amp;F38&amp;"Bilik Air","")&amp;"
","")&amp;IF(G38&lt;&gt;"","📐 "&amp;G38&amp;" sqft
","")&amp;IF(H38&lt;&gt;"","🏊 "&amp;SUBSTITUTE(SUBSTITUTE(SUBSTITUTE(SUBSTITUTE(SUBSTITUTE(SUBSTITUTE(SUBSTITUTE(SUBSTITUTE(SUBSTITUTE(SUBSTITUTE(H38,"游泳池","Kolam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","")&amp;IF(L38&lt;&gt;"","💰 Harga Jualan RM "&amp;TEXT(L38,"#,##0")&amp;"
","")&amp;"
Adakah masih tersedia? Terima kasih!","")</f>
        <v/>
      </c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9"/>
      <c r="J39" s="29"/>
      <c r="K39" s="29"/>
      <c r="L39" s="28"/>
      <c r="M39" s="30"/>
      <c r="N39" s="31" t="str">
        <f aca="false">IFERROR(ifs(B39="🏢 Condo 公寓","fa-building",B39="🏠 Apartment 单位","fa-home",B39="🌿 即租即住","fa-home",B39="🌿 近国际学校","fa-school",B39="📌 商业旺铺","fa-store",B39="🌟 海景豪宅","fa-water-ladder",B39="📈 投资优选","fa-chart-line",B39="🏞️ 花园住宅","fa-tree",B39="🌟 2026全新地标","fa-drafting-compass",B39="📈 海外投资优选","fa-globe",B39="🌆 核心地段","fa-city",B39="🔥 限时优惠","fa-fire",B39="✅ 永久产权","fa-certificate",B39="🏅 高回报","fa-medal",B39="🏖️ 度假胜地","fa-umbrella-beach",B39="🏫 学区优选","fa-graduation-cap",B39="🛣️ 交通便利","fa-road",B39="🔑 即买即住","fa-key"),"fa-home")</f>
        <v>fa-home</v>
      </c>
      <c r="O39" s="31" t="str">
        <f aca="false">IF(D39&lt;&gt;"",D39,"")</f>
        <v/>
      </c>
      <c r="P39" s="31" t="str">
        <f aca="false">IF(D39&lt;&gt;"",SUBSTITUTE(SUBSTITUTE(SUBSTITUTE(SUBSTITUTE(SUBSTITUTE(SUBSTITUTE(SUBSTITUTE(SUBSTITUTE(SUBSTITUTE(SUBSTITUTE(D39,"亚庇","Kota Kinabalu"),"公寓","Condo"),"排屋","Terrace"),"别墅","Villa"),"店铺","Shop"),"新山","Johor Bahru"),"市中心","City Centre"),"高级","Premium"),"单位","Unit"),"住宅","Residence"),"")</f>
        <v/>
      </c>
      <c r="Q39" s="31" t="str">
        <f aca="false">IF(D39&lt;&gt;"",SUBSTITUTE(SUBSTITUTE(SUBSTITUTE(SUBSTITUTE(SUBSTITUTE(SUBSTITUTE(SUBSTITUTE(SUBSTITUTE(SUBSTITUTE(SUBSTITUTE(D39,"亚庇","Kota Kinabalu"),"公寓","Kondominium"),"排屋","Rumah Teres"),"别墅","Vila"),"店铺","Kedai"),"新山","Johor Bahru"),"市中心","Pusat Bandar"),"高级","Premium"),"单位","Unit"),"住宅","Kediaman"),"")</f>
        <v/>
      </c>
      <c r="R39" s="31" t="str">
        <f aca="false">IF(D39&lt;&gt;"","📍 "&amp;IF(E39&lt;&gt;"",E39&amp;"房","")&amp;IF(F39&lt;&gt;"",F39&amp;"卫 ","")&amp;IF(G39&lt;&gt;"",G39&amp;" sqft","")&amp;IF(AND(OR(E39&lt;&gt;"",G39&lt;&gt;""),H39&lt;&gt;"")," · ","")&amp;IF(H39&lt;&gt;"",H39,""),"")</f>
        <v/>
      </c>
      <c r="S39" s="31" t="str">
        <f aca="false">IF(D39&lt;&gt;"","📍 "&amp;IF(E39&lt;&gt;"",E39&amp;"BR ","")&amp;IF(F39&lt;&gt;"",F39&amp;"BA ","")&amp;IF(G39&lt;&gt;"",G39&amp;" sqft","")&amp;IF(AND(OR(E39&lt;&gt;"",G39&lt;&gt;""),H39&lt;&gt;"")," · ","")&amp;IF(H39&lt;&gt;"",SUBSTITUTE(SUBSTITUTE(SUBSTITUTE(SUBSTITUTE(SUBSTITUTE(SUBSTITUTE(SUBSTITUTE(SUBSTITUTE(SUBSTITUTE(SUBSTITUTE(H39,"游泳池","Swimming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9" s="31" t="str">
        <f aca="false">IF(D39&lt;&gt;"","📍 "&amp;IF(E39&lt;&gt;"",E39&amp;"Bilik ","")&amp;IF(F39&lt;&gt;"",F39&amp;"Bilik Air ","")&amp;IF(G39&lt;&gt;"",G39&amp;" sqft","")&amp;IF(AND(OR(E39&lt;&gt;"",G39&lt;&gt;""),H39&lt;&gt;"")," · ","")&amp;IF(H39&lt;&gt;"",SUBSTITUTE(SUBSTITUTE(SUBSTITUTE(SUBSTITUTE(SUBSTITUTE(SUBSTITUTE(SUBSTITUTE(SUBSTITUTE(SUBSTITUTE(SUBSTITUTE(H39,"游泳池","Kolam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9" s="32" t="str">
        <f aca="false">IF(OR(I39&lt;&gt;"",J39&lt;&gt;"",K39&lt;&gt;""),"🔒 "&amp;IF(I39&lt;&gt;"",I39,"")&amp;IF(AND(I39&lt;&gt;"",J39&lt;&gt;"")," · ","")&amp;IF(J39&lt;&gt;"",J39,"")&amp;IF(AND(OR(I39&lt;&gt;"",J39&lt;&gt;""),K39&lt;&gt;"")," · ","")&amp;IF(K39&lt;&gt;"",K39,""),"")</f>
        <v/>
      </c>
      <c r="V39" s="31" t="str">
        <f aca="false">IF(L39&lt;&gt;"","💰 售价 RM "&amp;TEXT(L39,"#,##0"),"")</f>
        <v/>
      </c>
      <c r="W39" s="31" t="str">
        <f aca="false">IF(L39&lt;&gt;"","💰 Selling Price RM "&amp;TEXT(L39,"#,##0"),"")</f>
        <v/>
      </c>
      <c r="X39" s="31" t="str">
        <f aca="false">IF(L39&lt;&gt;"","💰 Harga Jualan RM "&amp;TEXT(L39,"#,##0"),"")</f>
        <v/>
      </c>
      <c r="Y39" s="33" t="str">
        <f aca="false">IF(D39&lt;&gt;"","您好！我想咨询购买：
🏠 "&amp;D39&amp;"
"&amp;IF(E39&lt;&gt;"","🛏 "&amp;E39&amp;"房"&amp;IF(F39&lt;&gt;""," "&amp;F39&amp;"卫","")&amp;"
","")&amp;IF(G39&lt;&gt;"","📐 "&amp;G39&amp;" sqft
","")&amp;IF(H39&lt;&gt;"","🏊 "&amp;H39&amp;"
","")&amp;IF(U39&lt;&gt;"",U39&amp;"
","")&amp;IF(L39&lt;&gt;"","💰 售价 RM "&amp;TEXT(L39,"#,##0")&amp;"
","")&amp;"
请问还有空档吗？谢谢！","")</f>
        <v/>
      </c>
      <c r="Z39" s="33" t="str">
        <f aca="false">IF(D39&lt;&gt;"","Hi! I'd like to make a purchase enquiry:
🏠 "&amp;P39&amp;"
"&amp;IF(E39&lt;&gt;"","🛏 "&amp;E39&amp;"BR"&amp;IF(F39&lt;&gt;""," "&amp;F39&amp;"BA","")&amp;"
","")&amp;IF(G39&lt;&gt;"","📐 "&amp;G39&amp;" sqft
","")&amp;IF(H39&lt;&gt;"","🏊 "&amp;SUBSTITUTE(SUBSTITUTE(SUBSTITUTE(SUBSTITUTE(SUBSTITUTE(SUBSTITUTE(SUBSTITUTE(SUBSTITUTE(SUBSTITUTE(SUBSTITUTE(H39,"游泳池","Swimming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","")&amp;IF(L39&lt;&gt;"","💰 Selling Price RM "&amp;TEXT(L39,"#,##0")&amp;"
","")&amp;"
Is this still available? Thank you!","")</f>
        <v/>
      </c>
      <c r="AA39" s="31"/>
      <c r="AB39" s="33" t="str">
        <f aca="false">IF(D39&lt;&gt;"","Helo! Saya ingin membuat pertanyaan pembelian:
🏠 "&amp;Q39&amp;"
"&amp;IF(E39&lt;&gt;"","🛏 "&amp;E39&amp;"Bilik"&amp;IF(F39&lt;&gt;""," "&amp;F39&amp;"Bilik Air","")&amp;"
","")&amp;IF(G39&lt;&gt;"","📐 "&amp;G39&amp;" sqft
","")&amp;IF(H39&lt;&gt;"","🏊 "&amp;SUBSTITUTE(SUBSTITUTE(SUBSTITUTE(SUBSTITUTE(SUBSTITUTE(SUBSTITUTE(SUBSTITUTE(SUBSTITUTE(SUBSTITUTE(SUBSTITUTE(H39,"游泳池","Kolam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","")&amp;IF(L39&lt;&gt;"","💰 Harga Jualan RM "&amp;TEXT(L39,"#,##0")&amp;"
","")&amp;"
Adakah masih tersedia? Terima kasih!","")</f>
        <v/>
      </c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9"/>
      <c r="J40" s="29"/>
      <c r="K40" s="29"/>
      <c r="L40" s="28"/>
      <c r="M40" s="30"/>
      <c r="N40" s="31" t="str">
        <f aca="false">IFERROR(ifs(B40="🏢 Condo 公寓","fa-building",B40="🏠 Apartment 单位","fa-home",B40="🌿 即租即住","fa-home",B40="🌿 近国际学校","fa-school",B40="📌 商业旺铺","fa-store",B40="🌟 海景豪宅","fa-water-ladder",B40="📈 投资优选","fa-chart-line",B40="🏞️ 花园住宅","fa-tree",B40="🌟 2026全新地标","fa-drafting-compass",B40="📈 海外投资优选","fa-globe",B40="🌆 核心地段","fa-city",B40="🔥 限时优惠","fa-fire",B40="✅ 永久产权","fa-certificate",B40="🏅 高回报","fa-medal",B40="🏖️ 度假胜地","fa-umbrella-beach",B40="🏫 学区优选","fa-graduation-cap",B40="🛣️ 交通便利","fa-road",B40="🔑 即买即住","fa-key"),"fa-home")</f>
        <v>fa-home</v>
      </c>
      <c r="O40" s="31" t="str">
        <f aca="false">IF(D40&lt;&gt;"",D40,"")</f>
        <v/>
      </c>
      <c r="P40" s="31" t="str">
        <f aca="false">IF(D40&lt;&gt;"",SUBSTITUTE(SUBSTITUTE(SUBSTITUTE(SUBSTITUTE(SUBSTITUTE(SUBSTITUTE(SUBSTITUTE(SUBSTITUTE(SUBSTITUTE(SUBSTITUTE(D40,"亚庇","Kota Kinabalu"),"公寓","Condo"),"排屋","Terrace"),"别墅","Villa"),"店铺","Shop"),"新山","Johor Bahru"),"市中心","City Centre"),"高级","Premium"),"单位","Unit"),"住宅","Residence"),"")</f>
        <v/>
      </c>
      <c r="Q40" s="31" t="str">
        <f aca="false">IF(D40&lt;&gt;"",SUBSTITUTE(SUBSTITUTE(SUBSTITUTE(SUBSTITUTE(SUBSTITUTE(SUBSTITUTE(SUBSTITUTE(SUBSTITUTE(SUBSTITUTE(SUBSTITUTE(D40,"亚庇","Kota Kinabalu"),"公寓","Kondominium"),"排屋","Rumah Teres"),"别墅","Vila"),"店铺","Kedai"),"新山","Johor Bahru"),"市中心","Pusat Bandar"),"高级","Premium"),"单位","Unit"),"住宅","Kediaman"),"")</f>
        <v/>
      </c>
      <c r="R40" s="31" t="str">
        <f aca="false">IF(D40&lt;&gt;"","📍 "&amp;IF(E40&lt;&gt;"",E40&amp;"房","")&amp;IF(F40&lt;&gt;"",F40&amp;"卫 ","")&amp;IF(G40&lt;&gt;"",G40&amp;" sqft","")&amp;IF(AND(OR(E40&lt;&gt;"",G40&lt;&gt;""),H40&lt;&gt;"")," · ","")&amp;IF(H40&lt;&gt;"",H40,""),"")</f>
        <v/>
      </c>
      <c r="S40" s="31" t="str">
        <f aca="false">IF(D40&lt;&gt;"","📍 "&amp;IF(E40&lt;&gt;"",E40&amp;"BR ","")&amp;IF(F40&lt;&gt;"",F40&amp;"BA ","")&amp;IF(G40&lt;&gt;"",G40&amp;" sqft","")&amp;IF(AND(OR(E40&lt;&gt;"",G40&lt;&gt;""),H40&lt;&gt;"")," · ","")&amp;IF(H40&lt;&gt;"",SUBSTITUTE(SUBSTITUTE(SUBSTITUTE(SUBSTITUTE(SUBSTITUTE(SUBSTITUTE(SUBSTITUTE(SUBSTITUTE(SUBSTITUTE(SUBSTITUTE(H40,"游泳池","Swimming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0" s="31" t="str">
        <f aca="false">IF(D40&lt;&gt;"","📍 "&amp;IF(E40&lt;&gt;"",E40&amp;"Bilik ","")&amp;IF(F40&lt;&gt;"",F40&amp;"Bilik Air ","")&amp;IF(G40&lt;&gt;"",G40&amp;" sqft","")&amp;IF(AND(OR(E40&lt;&gt;"",G40&lt;&gt;""),H40&lt;&gt;"")," · ","")&amp;IF(H40&lt;&gt;"",SUBSTITUTE(SUBSTITUTE(SUBSTITUTE(SUBSTITUTE(SUBSTITUTE(SUBSTITUTE(SUBSTITUTE(SUBSTITUTE(SUBSTITUTE(SUBSTITUTE(H40,"游泳池","Kolam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0" s="32" t="str">
        <f aca="false">IF(OR(I40&lt;&gt;"",J40&lt;&gt;"",K40&lt;&gt;""),"🔒 "&amp;IF(I40&lt;&gt;"",I40,"")&amp;IF(AND(I40&lt;&gt;"",J40&lt;&gt;"")," · ","")&amp;IF(J40&lt;&gt;"",J40,"")&amp;IF(AND(OR(I40&lt;&gt;"",J40&lt;&gt;""),K40&lt;&gt;"")," · ","")&amp;IF(K40&lt;&gt;"",K40,""),"")</f>
        <v/>
      </c>
      <c r="V40" s="31" t="str">
        <f aca="false">IF(L40&lt;&gt;"","💰 售价 RM "&amp;TEXT(L40,"#,##0"),"")</f>
        <v/>
      </c>
      <c r="W40" s="31" t="str">
        <f aca="false">IF(L40&lt;&gt;"","💰 Selling Price RM "&amp;TEXT(L40,"#,##0"),"")</f>
        <v/>
      </c>
      <c r="X40" s="31" t="str">
        <f aca="false">IF(L40&lt;&gt;"","💰 Harga Jualan RM "&amp;TEXT(L40,"#,##0"),"")</f>
        <v/>
      </c>
      <c r="Y40" s="33" t="str">
        <f aca="false">IF(D40&lt;&gt;"","您好！我想咨询购买：
🏠 "&amp;D40&amp;"
"&amp;IF(E40&lt;&gt;"","🛏 "&amp;E40&amp;"房"&amp;IF(F40&lt;&gt;""," "&amp;F40&amp;"卫","")&amp;"
","")&amp;IF(G40&lt;&gt;"","📐 "&amp;G40&amp;" sqft
","")&amp;IF(H40&lt;&gt;"","🏊 "&amp;H40&amp;"
","")&amp;IF(U40&lt;&gt;"",U40&amp;"
","")&amp;IF(L40&lt;&gt;"","💰 售价 RM "&amp;TEXT(L40,"#,##0")&amp;"
","")&amp;"
请问还有空档吗？谢谢！","")</f>
        <v/>
      </c>
      <c r="Z40" s="33" t="str">
        <f aca="false">IF(D40&lt;&gt;"","Hi! I'd like to make a purchase enquiry:
🏠 "&amp;P40&amp;"
"&amp;IF(E40&lt;&gt;"","🛏 "&amp;E40&amp;"BR"&amp;IF(F40&lt;&gt;""," "&amp;F40&amp;"BA","")&amp;"
","")&amp;IF(G40&lt;&gt;"","📐 "&amp;G40&amp;" sqft
","")&amp;IF(H40&lt;&gt;"","🏊 "&amp;SUBSTITUTE(SUBSTITUTE(SUBSTITUTE(SUBSTITUTE(SUBSTITUTE(SUBSTITUTE(SUBSTITUTE(SUBSTITUTE(SUBSTITUTE(SUBSTITUTE(H40,"游泳池","Swimming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","")&amp;IF(L40&lt;&gt;"","💰 Selling Price RM "&amp;TEXT(L40,"#,##0")&amp;"
","")&amp;"
Is this still available? Thank you!","")</f>
        <v/>
      </c>
      <c r="AA40" s="31"/>
      <c r="AB40" s="33" t="str">
        <f aca="false">IF(D40&lt;&gt;"","Helo! Saya ingin membuat pertanyaan pembelian:
🏠 "&amp;Q40&amp;"
"&amp;IF(E40&lt;&gt;"","🛏 "&amp;E40&amp;"Bilik"&amp;IF(F40&lt;&gt;""," "&amp;F40&amp;"Bilik Air","")&amp;"
","")&amp;IF(G40&lt;&gt;"","📐 "&amp;G40&amp;" sqft
","")&amp;IF(H40&lt;&gt;"","🏊 "&amp;SUBSTITUTE(SUBSTITUTE(SUBSTITUTE(SUBSTITUTE(SUBSTITUTE(SUBSTITUTE(SUBSTITUTE(SUBSTITUTE(SUBSTITUTE(SUBSTITUTE(H40,"游泳池","Kolam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","")&amp;IF(L40&lt;&gt;"","💰 Harga Jualan RM "&amp;TEXT(L40,"#,##0")&amp;"
","")&amp;"
Adakah masih tersedia? Terima kasih!","")</f>
        <v/>
      </c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9"/>
      <c r="J41" s="29"/>
      <c r="K41" s="29"/>
      <c r="L41" s="28"/>
      <c r="M41" s="30"/>
      <c r="N41" s="31" t="str">
        <f aca="false">IFERROR(ifs(B41="🏢 Condo 公寓","fa-building",B41="🏠 Apartment 单位","fa-home",B41="🌿 即租即住","fa-home",B41="🌿 近国际学校","fa-school",B41="📌 商业旺铺","fa-store",B41="🌟 海景豪宅","fa-water-ladder",B41="📈 投资优选","fa-chart-line",B41="🏞️ 花园住宅","fa-tree",B41="🌟 2026全新地标","fa-drafting-compass",B41="📈 海外投资优选","fa-globe",B41="🌆 核心地段","fa-city",B41="🔥 限时优惠","fa-fire",B41="✅ 永久产权","fa-certificate",B41="🏅 高回报","fa-medal",B41="🏖️ 度假胜地","fa-umbrella-beach",B41="🏫 学区优选","fa-graduation-cap",B41="🛣️ 交通便利","fa-road",B41="🔑 即买即住","fa-key"),"fa-home")</f>
        <v>fa-home</v>
      </c>
      <c r="O41" s="31" t="str">
        <f aca="false">IF(D41&lt;&gt;"",D41,"")</f>
        <v/>
      </c>
      <c r="P41" s="31" t="str">
        <f aca="false">IF(D41&lt;&gt;"",SUBSTITUTE(SUBSTITUTE(SUBSTITUTE(SUBSTITUTE(SUBSTITUTE(SUBSTITUTE(SUBSTITUTE(SUBSTITUTE(SUBSTITUTE(SUBSTITUTE(D41,"亚庇","Kota Kinabalu"),"公寓","Condo"),"排屋","Terrace"),"别墅","Villa"),"店铺","Shop"),"新山","Johor Bahru"),"市中心","City Centre"),"高级","Premium"),"单位","Unit"),"住宅","Residence"),"")</f>
        <v/>
      </c>
      <c r="Q41" s="31" t="str">
        <f aca="false">IF(D41&lt;&gt;"",SUBSTITUTE(SUBSTITUTE(SUBSTITUTE(SUBSTITUTE(SUBSTITUTE(SUBSTITUTE(SUBSTITUTE(SUBSTITUTE(SUBSTITUTE(SUBSTITUTE(D41,"亚庇","Kota Kinabalu"),"公寓","Kondominium"),"排屋","Rumah Teres"),"别墅","Vila"),"店铺","Kedai"),"新山","Johor Bahru"),"市中心","Pusat Bandar"),"高级","Premium"),"单位","Unit"),"住宅","Kediaman"),"")</f>
        <v/>
      </c>
      <c r="R41" s="31" t="str">
        <f aca="false">IF(D41&lt;&gt;"","📍 "&amp;IF(E41&lt;&gt;"",E41&amp;"房","")&amp;IF(F41&lt;&gt;"",F41&amp;"卫 ","")&amp;IF(G41&lt;&gt;"",G41&amp;" sqft","")&amp;IF(AND(OR(E41&lt;&gt;"",G41&lt;&gt;""),H41&lt;&gt;"")," · ","")&amp;IF(H41&lt;&gt;"",H41,""),"")</f>
        <v/>
      </c>
      <c r="S41" s="31" t="str">
        <f aca="false">IF(D41&lt;&gt;"","📍 "&amp;IF(E41&lt;&gt;"",E41&amp;"BR ","")&amp;IF(F41&lt;&gt;"",F41&amp;"BA ","")&amp;IF(G41&lt;&gt;"",G41&amp;" sqft","")&amp;IF(AND(OR(E41&lt;&gt;"",G41&lt;&gt;""),H41&lt;&gt;"")," · ","")&amp;IF(H41&lt;&gt;"",SUBSTITUTE(SUBSTITUTE(SUBSTITUTE(SUBSTITUTE(SUBSTITUTE(SUBSTITUTE(SUBSTITUTE(SUBSTITUTE(SUBSTITUTE(SUBSTITUTE(H41,"游泳池","Swimming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1" s="31" t="str">
        <f aca="false">IF(D41&lt;&gt;"","📍 "&amp;IF(E41&lt;&gt;"",E41&amp;"Bilik ","")&amp;IF(F41&lt;&gt;"",F41&amp;"Bilik Air ","")&amp;IF(G41&lt;&gt;"",G41&amp;" sqft","")&amp;IF(AND(OR(E41&lt;&gt;"",G41&lt;&gt;""),H41&lt;&gt;"")," · ","")&amp;IF(H41&lt;&gt;"",SUBSTITUTE(SUBSTITUTE(SUBSTITUTE(SUBSTITUTE(SUBSTITUTE(SUBSTITUTE(SUBSTITUTE(SUBSTITUTE(SUBSTITUTE(SUBSTITUTE(H41,"游泳池","Kolam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1" s="32" t="str">
        <f aca="false">IF(OR(I41&lt;&gt;"",J41&lt;&gt;"",K41&lt;&gt;""),"🔒 "&amp;IF(I41&lt;&gt;"",I41,"")&amp;IF(AND(I41&lt;&gt;"",J41&lt;&gt;"")," · ","")&amp;IF(J41&lt;&gt;"",J41,"")&amp;IF(AND(OR(I41&lt;&gt;"",J41&lt;&gt;""),K41&lt;&gt;"")," · ","")&amp;IF(K41&lt;&gt;"",K41,""),"")</f>
        <v/>
      </c>
      <c r="V41" s="31" t="str">
        <f aca="false">IF(L41&lt;&gt;"","💰 售价 RM "&amp;TEXT(L41,"#,##0"),"")</f>
        <v/>
      </c>
      <c r="W41" s="31" t="str">
        <f aca="false">IF(L41&lt;&gt;"","💰 Selling Price RM "&amp;TEXT(L41,"#,##0"),"")</f>
        <v/>
      </c>
      <c r="X41" s="31" t="str">
        <f aca="false">IF(L41&lt;&gt;"","💰 Harga Jualan RM "&amp;TEXT(L41,"#,##0"),"")</f>
        <v/>
      </c>
      <c r="Y41" s="33" t="str">
        <f aca="false">IF(D41&lt;&gt;"","您好！我想咨询购买：
🏠 "&amp;D41&amp;"
"&amp;IF(E41&lt;&gt;"","🛏 "&amp;E41&amp;"房"&amp;IF(F41&lt;&gt;""," "&amp;F41&amp;"卫","")&amp;"
","")&amp;IF(G41&lt;&gt;"","📐 "&amp;G41&amp;" sqft
","")&amp;IF(H41&lt;&gt;"","🏊 "&amp;H41&amp;"
","")&amp;IF(U41&lt;&gt;"",U41&amp;"
","")&amp;IF(L41&lt;&gt;"","💰 售价 RM "&amp;TEXT(L41,"#,##0")&amp;"
","")&amp;"
请问还有空档吗？谢谢！","")</f>
        <v/>
      </c>
      <c r="Z41" s="33" t="str">
        <f aca="false">IF(D41&lt;&gt;"","Hi! I'd like to make a purchase enquiry:
🏠 "&amp;P41&amp;"
"&amp;IF(E41&lt;&gt;"","🛏 "&amp;E41&amp;"BR"&amp;IF(F41&lt;&gt;""," "&amp;F41&amp;"BA","")&amp;"
","")&amp;IF(G41&lt;&gt;"","📐 "&amp;G41&amp;" sqft
","")&amp;IF(H41&lt;&gt;"","🏊 "&amp;SUBSTITUTE(SUBSTITUTE(SUBSTITUTE(SUBSTITUTE(SUBSTITUTE(SUBSTITUTE(SUBSTITUTE(SUBSTITUTE(SUBSTITUTE(SUBSTITUTE(H41,"游泳池","Swimming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","")&amp;IF(L41&lt;&gt;"","💰 Selling Price RM "&amp;TEXT(L41,"#,##0")&amp;"
","")&amp;"
Is this still available? Thank you!","")</f>
        <v/>
      </c>
      <c r="AA41" s="31"/>
      <c r="AB41" s="33" t="str">
        <f aca="false">IF(D41&lt;&gt;"","Helo! Saya ingin membuat pertanyaan pembelian:
🏠 "&amp;Q41&amp;"
"&amp;IF(E41&lt;&gt;"","🛏 "&amp;E41&amp;"Bilik"&amp;IF(F41&lt;&gt;""," "&amp;F41&amp;"Bilik Air","")&amp;"
","")&amp;IF(G41&lt;&gt;"","📐 "&amp;G41&amp;" sqft
","")&amp;IF(H41&lt;&gt;"","🏊 "&amp;SUBSTITUTE(SUBSTITUTE(SUBSTITUTE(SUBSTITUTE(SUBSTITUTE(SUBSTITUTE(SUBSTITUTE(SUBSTITUTE(SUBSTITUTE(SUBSTITUTE(H41,"游泳池","Kolam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","")&amp;IF(L41&lt;&gt;"","💰 Harga Jualan RM "&amp;TEXT(L41,"#,##0")&amp;"
","")&amp;"
Adakah masih tersedia? Terima kasih!","")</f>
        <v/>
      </c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9"/>
      <c r="J42" s="29"/>
      <c r="K42" s="29"/>
      <c r="L42" s="28"/>
      <c r="M42" s="30"/>
      <c r="N42" s="31" t="str">
        <f aca="false">IFERROR(ifs(B42="🏢 Condo 公寓","fa-building",B42="🏠 Apartment 单位","fa-home",B42="🌿 即租即住","fa-home",B42="🌿 近国际学校","fa-school",B42="📌 商业旺铺","fa-store",B42="🌟 海景豪宅","fa-water-ladder",B42="📈 投资优选","fa-chart-line",B42="🏞️ 花园住宅","fa-tree",B42="🌟 2026全新地标","fa-drafting-compass",B42="📈 海外投资优选","fa-globe",B42="🌆 核心地段","fa-city",B42="🔥 限时优惠","fa-fire",B42="✅ 永久产权","fa-certificate",B42="🏅 高回报","fa-medal",B42="🏖️ 度假胜地","fa-umbrella-beach",B42="🏫 学区优选","fa-graduation-cap",B42="🛣️ 交通便利","fa-road",B42="🔑 即买即住","fa-key"),"fa-home")</f>
        <v>fa-home</v>
      </c>
      <c r="O42" s="31" t="str">
        <f aca="false">IF(D42&lt;&gt;"",D42,"")</f>
        <v/>
      </c>
      <c r="P42" s="31" t="str">
        <f aca="false">IF(D42&lt;&gt;"",SUBSTITUTE(SUBSTITUTE(SUBSTITUTE(SUBSTITUTE(SUBSTITUTE(SUBSTITUTE(SUBSTITUTE(SUBSTITUTE(SUBSTITUTE(SUBSTITUTE(D42,"亚庇","Kota Kinabalu"),"公寓","Condo"),"排屋","Terrace"),"别墅","Villa"),"店铺","Shop"),"新山","Johor Bahru"),"市中心","City Centre"),"高级","Premium"),"单位","Unit"),"住宅","Residence"),"")</f>
        <v/>
      </c>
      <c r="Q42" s="31" t="str">
        <f aca="false">IF(D42&lt;&gt;"",SUBSTITUTE(SUBSTITUTE(SUBSTITUTE(SUBSTITUTE(SUBSTITUTE(SUBSTITUTE(SUBSTITUTE(SUBSTITUTE(SUBSTITUTE(SUBSTITUTE(D42,"亚庇","Kota Kinabalu"),"公寓","Kondominium"),"排屋","Rumah Teres"),"别墅","Vila"),"店铺","Kedai"),"新山","Johor Bahru"),"市中心","Pusat Bandar"),"高级","Premium"),"单位","Unit"),"住宅","Kediaman"),"")</f>
        <v/>
      </c>
      <c r="R42" s="31" t="str">
        <f aca="false">IF(D42&lt;&gt;"","📍 "&amp;IF(E42&lt;&gt;"",E42&amp;"房","")&amp;IF(F42&lt;&gt;"",F42&amp;"卫 ","")&amp;IF(G42&lt;&gt;"",G42&amp;" sqft","")&amp;IF(AND(OR(E42&lt;&gt;"",G42&lt;&gt;""),H42&lt;&gt;"")," · ","")&amp;IF(H42&lt;&gt;"",H42,""),"")</f>
        <v/>
      </c>
      <c r="S42" s="31" t="str">
        <f aca="false">IF(D42&lt;&gt;"","📍 "&amp;IF(E42&lt;&gt;"",E42&amp;"BR ","")&amp;IF(F42&lt;&gt;"",F42&amp;"BA ","")&amp;IF(G42&lt;&gt;"",G42&amp;" sqft","")&amp;IF(AND(OR(E42&lt;&gt;"",G42&lt;&gt;""),H42&lt;&gt;"")," · ","")&amp;IF(H42&lt;&gt;"",SUBSTITUTE(SUBSTITUTE(SUBSTITUTE(SUBSTITUTE(SUBSTITUTE(SUBSTITUTE(SUBSTITUTE(SUBSTITUTE(SUBSTITUTE(SUBSTITUTE(H42,"游泳池","Swimming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2" s="31" t="str">
        <f aca="false">IF(D42&lt;&gt;"","📍 "&amp;IF(E42&lt;&gt;"",E42&amp;"Bilik ","")&amp;IF(F42&lt;&gt;"",F42&amp;"Bilik Air ","")&amp;IF(G42&lt;&gt;"",G42&amp;" sqft","")&amp;IF(AND(OR(E42&lt;&gt;"",G42&lt;&gt;""),H42&lt;&gt;"")," · ","")&amp;IF(H42&lt;&gt;"",SUBSTITUTE(SUBSTITUTE(SUBSTITUTE(SUBSTITUTE(SUBSTITUTE(SUBSTITUTE(SUBSTITUTE(SUBSTITUTE(SUBSTITUTE(SUBSTITUTE(H42,"游泳池","Kolam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2" s="32" t="str">
        <f aca="false">IF(OR(I42&lt;&gt;"",J42&lt;&gt;"",K42&lt;&gt;""),"🔒 "&amp;IF(I42&lt;&gt;"",I42,"")&amp;IF(AND(I42&lt;&gt;"",J42&lt;&gt;"")," · ","")&amp;IF(J42&lt;&gt;"",J42,"")&amp;IF(AND(OR(I42&lt;&gt;"",J42&lt;&gt;""),K42&lt;&gt;"")," · ","")&amp;IF(K42&lt;&gt;"",K42,""),"")</f>
        <v/>
      </c>
      <c r="V42" s="31" t="str">
        <f aca="false">IF(L42&lt;&gt;"","💰 售价 RM "&amp;TEXT(L42,"#,##0"),"")</f>
        <v/>
      </c>
      <c r="W42" s="31" t="str">
        <f aca="false">IF(L42&lt;&gt;"","💰 Selling Price RM "&amp;TEXT(L42,"#,##0"),"")</f>
        <v/>
      </c>
      <c r="X42" s="31" t="str">
        <f aca="false">IF(L42&lt;&gt;"","💰 Harga Jualan RM "&amp;TEXT(L42,"#,##0"),"")</f>
        <v/>
      </c>
      <c r="Y42" s="33" t="str">
        <f aca="false">IF(D42&lt;&gt;"","您好！我想咨询购买：
🏠 "&amp;D42&amp;"
"&amp;IF(E42&lt;&gt;"","🛏 "&amp;E42&amp;"房"&amp;IF(F42&lt;&gt;""," "&amp;F42&amp;"卫","")&amp;"
","")&amp;IF(G42&lt;&gt;"","📐 "&amp;G42&amp;" sqft
","")&amp;IF(H42&lt;&gt;"","🏊 "&amp;H42&amp;"
","")&amp;IF(U42&lt;&gt;"",U42&amp;"
","")&amp;IF(L42&lt;&gt;"","💰 售价 RM "&amp;TEXT(L42,"#,##0")&amp;"
","")&amp;"
请问还有空档吗？谢谢！","")</f>
        <v/>
      </c>
      <c r="Z42" s="33" t="str">
        <f aca="false">IF(D42&lt;&gt;"","Hi! I'd like to make a purchase enquiry:
🏠 "&amp;P42&amp;"
"&amp;IF(E42&lt;&gt;"","🛏 "&amp;E42&amp;"BR"&amp;IF(F42&lt;&gt;""," "&amp;F42&amp;"BA","")&amp;"
","")&amp;IF(G42&lt;&gt;"","📐 "&amp;G42&amp;" sqft
","")&amp;IF(H42&lt;&gt;"","🏊 "&amp;SUBSTITUTE(SUBSTITUTE(SUBSTITUTE(SUBSTITUTE(SUBSTITUTE(SUBSTITUTE(SUBSTITUTE(SUBSTITUTE(SUBSTITUTE(SUBSTITUTE(H42,"游泳池","Swimming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","")&amp;IF(L42&lt;&gt;"","💰 Selling Price RM "&amp;TEXT(L42,"#,##0")&amp;"
","")&amp;"
Is this still available? Thank you!","")</f>
        <v/>
      </c>
      <c r="AA42" s="31"/>
      <c r="AB42" s="33" t="str">
        <f aca="false">IF(D42&lt;&gt;"","Helo! Saya ingin membuat pertanyaan pembelian:
🏠 "&amp;Q42&amp;"
"&amp;IF(E42&lt;&gt;"","🛏 "&amp;E42&amp;"Bilik"&amp;IF(F42&lt;&gt;""," "&amp;F42&amp;"Bilik Air","")&amp;"
","")&amp;IF(G42&lt;&gt;"","📐 "&amp;G42&amp;" sqft
","")&amp;IF(H42&lt;&gt;"","🏊 "&amp;SUBSTITUTE(SUBSTITUTE(SUBSTITUTE(SUBSTITUTE(SUBSTITUTE(SUBSTITUTE(SUBSTITUTE(SUBSTITUTE(SUBSTITUTE(SUBSTITUTE(H42,"游泳池","Kolam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","")&amp;IF(L42&lt;&gt;"","💰 Harga Jualan RM "&amp;TEXT(L42,"#,##0")&amp;"
","")&amp;"
Adakah masih tersedia? Terima kasih!","")</f>
        <v/>
      </c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9"/>
      <c r="J43" s="29"/>
      <c r="K43" s="29"/>
      <c r="L43" s="28"/>
      <c r="M43" s="30"/>
      <c r="N43" s="31" t="str">
        <f aca="false">IFERROR(ifs(B43="🏢 Condo 公寓","fa-building",B43="🏠 Apartment 单位","fa-home",B43="🌿 即租即住","fa-home",B43="🌿 近国际学校","fa-school",B43="📌 商业旺铺","fa-store",B43="🌟 海景豪宅","fa-water-ladder",B43="📈 投资优选","fa-chart-line",B43="🏞️ 花园住宅","fa-tree",B43="🌟 2026全新地标","fa-drafting-compass",B43="📈 海外投资优选","fa-globe",B43="🌆 核心地段","fa-city",B43="🔥 限时优惠","fa-fire",B43="✅ 永久产权","fa-certificate",B43="🏅 高回报","fa-medal",B43="🏖️ 度假胜地","fa-umbrella-beach",B43="🏫 学区优选","fa-graduation-cap",B43="🛣️ 交通便利","fa-road",B43="🔑 即买即住","fa-key"),"fa-home")</f>
        <v>fa-home</v>
      </c>
      <c r="O43" s="31" t="str">
        <f aca="false">IF(D43&lt;&gt;"",D43,"")</f>
        <v/>
      </c>
      <c r="P43" s="31" t="str">
        <f aca="false">IF(D43&lt;&gt;"",SUBSTITUTE(SUBSTITUTE(SUBSTITUTE(SUBSTITUTE(SUBSTITUTE(SUBSTITUTE(SUBSTITUTE(SUBSTITUTE(SUBSTITUTE(SUBSTITUTE(D43,"亚庇","Kota Kinabalu"),"公寓","Condo"),"排屋","Terrace"),"别墅","Villa"),"店铺","Shop"),"新山","Johor Bahru"),"市中心","City Centre"),"高级","Premium"),"单位","Unit"),"住宅","Residence"),"")</f>
        <v/>
      </c>
      <c r="Q43" s="31" t="str">
        <f aca="false">IF(D43&lt;&gt;"",SUBSTITUTE(SUBSTITUTE(SUBSTITUTE(SUBSTITUTE(SUBSTITUTE(SUBSTITUTE(SUBSTITUTE(SUBSTITUTE(SUBSTITUTE(SUBSTITUTE(D43,"亚庇","Kota Kinabalu"),"公寓","Kondominium"),"排屋","Rumah Teres"),"别墅","Vila"),"店铺","Kedai"),"新山","Johor Bahru"),"市中心","Pusat Bandar"),"高级","Premium"),"单位","Unit"),"住宅","Kediaman"),"")</f>
        <v/>
      </c>
      <c r="R43" s="31" t="str">
        <f aca="false">IF(D43&lt;&gt;"","📍 "&amp;IF(E43&lt;&gt;"",E43&amp;"房","")&amp;IF(F43&lt;&gt;"",F43&amp;"卫 ","")&amp;IF(G43&lt;&gt;"",G43&amp;" sqft","")&amp;IF(AND(OR(E43&lt;&gt;"",G43&lt;&gt;""),H43&lt;&gt;"")," · ","")&amp;IF(H43&lt;&gt;"",H43,""),"")</f>
        <v/>
      </c>
      <c r="S43" s="31" t="str">
        <f aca="false">IF(D43&lt;&gt;"","📍 "&amp;IF(E43&lt;&gt;"",E43&amp;"BR ","")&amp;IF(F43&lt;&gt;"",F43&amp;"BA ","")&amp;IF(G43&lt;&gt;"",G43&amp;" sqft","")&amp;IF(AND(OR(E43&lt;&gt;"",G43&lt;&gt;""),H43&lt;&gt;"")," · ","")&amp;IF(H43&lt;&gt;"",SUBSTITUTE(SUBSTITUTE(SUBSTITUTE(SUBSTITUTE(SUBSTITUTE(SUBSTITUTE(SUBSTITUTE(SUBSTITUTE(SUBSTITUTE(SUBSTITUTE(H43,"游泳池","Swimming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3" s="31" t="str">
        <f aca="false">IF(D43&lt;&gt;"","📍 "&amp;IF(E43&lt;&gt;"",E43&amp;"Bilik ","")&amp;IF(F43&lt;&gt;"",F43&amp;"Bilik Air ","")&amp;IF(G43&lt;&gt;"",G43&amp;" sqft","")&amp;IF(AND(OR(E43&lt;&gt;"",G43&lt;&gt;""),H43&lt;&gt;"")," · ","")&amp;IF(H43&lt;&gt;"",SUBSTITUTE(SUBSTITUTE(SUBSTITUTE(SUBSTITUTE(SUBSTITUTE(SUBSTITUTE(SUBSTITUTE(SUBSTITUTE(SUBSTITUTE(SUBSTITUTE(H43,"游泳池","Kolam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3" s="32" t="str">
        <f aca="false">IF(OR(I43&lt;&gt;"",J43&lt;&gt;"",K43&lt;&gt;""),"🔒 "&amp;IF(I43&lt;&gt;"",I43,"")&amp;IF(AND(I43&lt;&gt;"",J43&lt;&gt;"")," · ","")&amp;IF(J43&lt;&gt;"",J43,"")&amp;IF(AND(OR(I43&lt;&gt;"",J43&lt;&gt;""),K43&lt;&gt;"")," · ","")&amp;IF(K43&lt;&gt;"",K43,""),"")</f>
        <v/>
      </c>
      <c r="V43" s="31" t="str">
        <f aca="false">IF(L43&lt;&gt;"","💰 售价 RM "&amp;TEXT(L43,"#,##0"),"")</f>
        <v/>
      </c>
      <c r="W43" s="31" t="str">
        <f aca="false">IF(L43&lt;&gt;"","💰 Selling Price RM "&amp;TEXT(L43,"#,##0"),"")</f>
        <v/>
      </c>
      <c r="X43" s="31" t="str">
        <f aca="false">IF(L43&lt;&gt;"","💰 Harga Jualan RM "&amp;TEXT(L43,"#,##0"),"")</f>
        <v/>
      </c>
      <c r="Y43" s="33" t="str">
        <f aca="false">IF(D43&lt;&gt;"","您好！我想咨询购买：
🏠 "&amp;D43&amp;"
"&amp;IF(E43&lt;&gt;"","🛏 "&amp;E43&amp;"房"&amp;IF(F43&lt;&gt;""," "&amp;F43&amp;"卫","")&amp;"
","")&amp;IF(G43&lt;&gt;"","📐 "&amp;G43&amp;" sqft
","")&amp;IF(H43&lt;&gt;"","🏊 "&amp;H43&amp;"
","")&amp;IF(U43&lt;&gt;"",U43&amp;"
","")&amp;IF(L43&lt;&gt;"","💰 售价 RM "&amp;TEXT(L43,"#,##0")&amp;"
","")&amp;"
请问还有空档吗？谢谢！","")</f>
        <v/>
      </c>
      <c r="Z43" s="33" t="str">
        <f aca="false">IF(D43&lt;&gt;"","Hi! I'd like to make a purchase enquiry:
🏠 "&amp;P43&amp;"
"&amp;IF(E43&lt;&gt;"","🛏 "&amp;E43&amp;"BR"&amp;IF(F43&lt;&gt;""," "&amp;F43&amp;"BA","")&amp;"
","")&amp;IF(G43&lt;&gt;"","📐 "&amp;G43&amp;" sqft
","")&amp;IF(H43&lt;&gt;"","🏊 "&amp;SUBSTITUTE(SUBSTITUTE(SUBSTITUTE(SUBSTITUTE(SUBSTITUTE(SUBSTITUTE(SUBSTITUTE(SUBSTITUTE(SUBSTITUTE(SUBSTITUTE(H43,"游泳池","Swimming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","")&amp;IF(L43&lt;&gt;"","💰 Selling Price RM "&amp;TEXT(L43,"#,##0")&amp;"
","")&amp;"
Is this still available? Thank you!","")</f>
        <v/>
      </c>
      <c r="AA43" s="31"/>
      <c r="AB43" s="33" t="str">
        <f aca="false">IF(D43&lt;&gt;"","Helo! Saya ingin membuat pertanyaan pembelian:
🏠 "&amp;Q43&amp;"
"&amp;IF(E43&lt;&gt;"","🛏 "&amp;E43&amp;"Bilik"&amp;IF(F43&lt;&gt;""," "&amp;F43&amp;"Bilik Air","")&amp;"
","")&amp;IF(G43&lt;&gt;"","📐 "&amp;G43&amp;" sqft
","")&amp;IF(H43&lt;&gt;"","🏊 "&amp;SUBSTITUTE(SUBSTITUTE(SUBSTITUTE(SUBSTITUTE(SUBSTITUTE(SUBSTITUTE(SUBSTITUTE(SUBSTITUTE(SUBSTITUTE(SUBSTITUTE(H43,"游泳池","Kolam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","")&amp;IF(L43&lt;&gt;"","💰 Harga Jualan RM "&amp;TEXT(L43,"#,##0")&amp;"
","")&amp;"
Adakah masih tersedia? Terima kasih!","")</f>
        <v/>
      </c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9"/>
      <c r="J44" s="29"/>
      <c r="K44" s="29"/>
      <c r="L44" s="28"/>
      <c r="M44" s="30"/>
      <c r="N44" s="31" t="str">
        <f aca="false">IFERROR(ifs(B44="🏢 Condo 公寓","fa-building",B44="🏠 Apartment 单位","fa-home",B44="🌿 即租即住","fa-home",B44="🌿 近国际学校","fa-school",B44="📌 商业旺铺","fa-store",B44="🌟 海景豪宅","fa-water-ladder",B44="📈 投资优选","fa-chart-line",B44="🏞️ 花园住宅","fa-tree",B44="🌟 2026全新地标","fa-drafting-compass",B44="📈 海外投资优选","fa-globe",B44="🌆 核心地段","fa-city",B44="🔥 限时优惠","fa-fire",B44="✅ 永久产权","fa-certificate",B44="🏅 高回报","fa-medal",B44="🏖️ 度假胜地","fa-umbrella-beach",B44="🏫 学区优选","fa-graduation-cap",B44="🛣️ 交通便利","fa-road",B44="🔑 即买即住","fa-key"),"fa-home")</f>
        <v>fa-home</v>
      </c>
      <c r="O44" s="31" t="str">
        <f aca="false">IF(D44&lt;&gt;"",D44,"")</f>
        <v/>
      </c>
      <c r="P44" s="31" t="str">
        <f aca="false">IF(D44&lt;&gt;"",SUBSTITUTE(SUBSTITUTE(SUBSTITUTE(SUBSTITUTE(SUBSTITUTE(SUBSTITUTE(SUBSTITUTE(SUBSTITUTE(SUBSTITUTE(SUBSTITUTE(D44,"亚庇","Kota Kinabalu"),"公寓","Condo"),"排屋","Terrace"),"别墅","Villa"),"店铺","Shop"),"新山","Johor Bahru"),"市中心","City Centre"),"高级","Premium"),"单位","Unit"),"住宅","Residence"),"")</f>
        <v/>
      </c>
      <c r="Q44" s="31" t="str">
        <f aca="false">IF(D44&lt;&gt;"",SUBSTITUTE(SUBSTITUTE(SUBSTITUTE(SUBSTITUTE(SUBSTITUTE(SUBSTITUTE(SUBSTITUTE(SUBSTITUTE(SUBSTITUTE(SUBSTITUTE(D44,"亚庇","Kota Kinabalu"),"公寓","Kondominium"),"排屋","Rumah Teres"),"别墅","Vila"),"店铺","Kedai"),"新山","Johor Bahru"),"市中心","Pusat Bandar"),"高级","Premium"),"单位","Unit"),"住宅","Kediaman"),"")</f>
        <v/>
      </c>
      <c r="R44" s="31" t="str">
        <f aca="false">IF(D44&lt;&gt;"","📍 "&amp;IF(E44&lt;&gt;"",E44&amp;"房","")&amp;IF(F44&lt;&gt;"",F44&amp;"卫 ","")&amp;IF(G44&lt;&gt;"",G44&amp;" sqft","")&amp;IF(AND(OR(E44&lt;&gt;"",G44&lt;&gt;""),H44&lt;&gt;"")," · ","")&amp;IF(H44&lt;&gt;"",H44,""),"")</f>
        <v/>
      </c>
      <c r="S44" s="31" t="str">
        <f aca="false">IF(D44&lt;&gt;"","📍 "&amp;IF(E44&lt;&gt;"",E44&amp;"BR ","")&amp;IF(F44&lt;&gt;"",F44&amp;"BA ","")&amp;IF(G44&lt;&gt;"",G44&amp;" sqft","")&amp;IF(AND(OR(E44&lt;&gt;"",G44&lt;&gt;""),H44&lt;&gt;"")," · ","")&amp;IF(H44&lt;&gt;"",SUBSTITUTE(SUBSTITUTE(SUBSTITUTE(SUBSTITUTE(SUBSTITUTE(SUBSTITUTE(SUBSTITUTE(SUBSTITUTE(SUBSTITUTE(SUBSTITUTE(H44,"游泳池","Swimming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4" s="31" t="str">
        <f aca="false">IF(D44&lt;&gt;"","📍 "&amp;IF(E44&lt;&gt;"",E44&amp;"Bilik ","")&amp;IF(F44&lt;&gt;"",F44&amp;"Bilik Air ","")&amp;IF(G44&lt;&gt;"",G44&amp;" sqft","")&amp;IF(AND(OR(E44&lt;&gt;"",G44&lt;&gt;""),H44&lt;&gt;"")," · ","")&amp;IF(H44&lt;&gt;"",SUBSTITUTE(SUBSTITUTE(SUBSTITUTE(SUBSTITUTE(SUBSTITUTE(SUBSTITUTE(SUBSTITUTE(SUBSTITUTE(SUBSTITUTE(SUBSTITUTE(H44,"游泳池","Kolam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4" s="32" t="str">
        <f aca="false">IF(OR(I44&lt;&gt;"",J44&lt;&gt;"",K44&lt;&gt;""),"🔒 "&amp;IF(I44&lt;&gt;"",I44,"")&amp;IF(AND(I44&lt;&gt;"",J44&lt;&gt;"")," · ","")&amp;IF(J44&lt;&gt;"",J44,"")&amp;IF(AND(OR(I44&lt;&gt;"",J44&lt;&gt;""),K44&lt;&gt;"")," · ","")&amp;IF(K44&lt;&gt;"",K44,""),"")</f>
        <v/>
      </c>
      <c r="V44" s="31" t="str">
        <f aca="false">IF(L44&lt;&gt;"","💰 售价 RM "&amp;TEXT(L44,"#,##0"),"")</f>
        <v/>
      </c>
      <c r="W44" s="31" t="str">
        <f aca="false">IF(L44&lt;&gt;"","💰 Selling Price RM "&amp;TEXT(L44,"#,##0"),"")</f>
        <v/>
      </c>
      <c r="X44" s="31" t="str">
        <f aca="false">IF(L44&lt;&gt;"","💰 Harga Jualan RM "&amp;TEXT(L44,"#,##0"),"")</f>
        <v/>
      </c>
      <c r="Y44" s="33" t="str">
        <f aca="false">IF(D44&lt;&gt;"","您好！我想咨询购买：
🏠 "&amp;D44&amp;"
"&amp;IF(E44&lt;&gt;"","🛏 "&amp;E44&amp;"房"&amp;IF(F44&lt;&gt;""," "&amp;F44&amp;"卫","")&amp;"
","")&amp;IF(G44&lt;&gt;"","📐 "&amp;G44&amp;" sqft
","")&amp;IF(H44&lt;&gt;"","🏊 "&amp;H44&amp;"
","")&amp;IF(U44&lt;&gt;"",U44&amp;"
","")&amp;IF(L44&lt;&gt;"","💰 售价 RM "&amp;TEXT(L44,"#,##0")&amp;"
","")&amp;"
请问还有空档吗？谢谢！","")</f>
        <v/>
      </c>
      <c r="Z44" s="33" t="str">
        <f aca="false">IF(D44&lt;&gt;"","Hi! I'd like to make a purchase enquiry:
🏠 "&amp;P44&amp;"
"&amp;IF(E44&lt;&gt;"","🛏 "&amp;E44&amp;"BR"&amp;IF(F44&lt;&gt;""," "&amp;F44&amp;"BA","")&amp;"
","")&amp;IF(G44&lt;&gt;"","📐 "&amp;G44&amp;" sqft
","")&amp;IF(H44&lt;&gt;"","🏊 "&amp;SUBSTITUTE(SUBSTITUTE(SUBSTITUTE(SUBSTITUTE(SUBSTITUTE(SUBSTITUTE(SUBSTITUTE(SUBSTITUTE(SUBSTITUTE(SUBSTITUTE(H44,"游泳池","Swimming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","")&amp;IF(L44&lt;&gt;"","💰 Selling Price RM "&amp;TEXT(L44,"#,##0")&amp;"
","")&amp;"
Is this still available? Thank you!","")</f>
        <v/>
      </c>
      <c r="AA44" s="31"/>
      <c r="AB44" s="33" t="str">
        <f aca="false">IF(D44&lt;&gt;"","Helo! Saya ingin membuat pertanyaan pembelian:
🏠 "&amp;Q44&amp;"
"&amp;IF(E44&lt;&gt;"","🛏 "&amp;E44&amp;"Bilik"&amp;IF(F44&lt;&gt;""," "&amp;F44&amp;"Bilik Air","")&amp;"
","")&amp;IF(G44&lt;&gt;"","📐 "&amp;G44&amp;" sqft
","")&amp;IF(H44&lt;&gt;"","🏊 "&amp;SUBSTITUTE(SUBSTITUTE(SUBSTITUTE(SUBSTITUTE(SUBSTITUTE(SUBSTITUTE(SUBSTITUTE(SUBSTITUTE(SUBSTITUTE(SUBSTITUTE(H44,"游泳池","Kolam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","")&amp;IF(L44&lt;&gt;"","💰 Harga Jualan RM "&amp;TEXT(L44,"#,##0")&amp;"
","")&amp;"
Adakah masih tersedia? Terima kasih!","")</f>
        <v/>
      </c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9"/>
      <c r="J45" s="29"/>
      <c r="K45" s="29"/>
      <c r="L45" s="28"/>
      <c r="M45" s="30"/>
      <c r="N45" s="31" t="str">
        <f aca="false">IFERROR(ifs(B45="🏢 Condo 公寓","fa-building",B45="🏠 Apartment 单位","fa-home",B45="🌿 即租即住","fa-home",B45="🌿 近国际学校","fa-school",B45="📌 商业旺铺","fa-store",B45="🌟 海景豪宅","fa-water-ladder",B45="📈 投资优选","fa-chart-line",B45="🏞️ 花园住宅","fa-tree",B45="🌟 2026全新地标","fa-drafting-compass",B45="📈 海外投资优选","fa-globe",B45="🌆 核心地段","fa-city",B45="🔥 限时优惠","fa-fire",B45="✅ 永久产权","fa-certificate",B45="🏅 高回报","fa-medal",B45="🏖️ 度假胜地","fa-umbrella-beach",B45="🏫 学区优选","fa-graduation-cap",B45="🛣️ 交通便利","fa-road",B45="🔑 即买即住","fa-key"),"fa-home")</f>
        <v>fa-home</v>
      </c>
      <c r="O45" s="31" t="str">
        <f aca="false">IF(D45&lt;&gt;"",D45,"")</f>
        <v/>
      </c>
      <c r="P45" s="31" t="str">
        <f aca="false">IF(D45&lt;&gt;"",SUBSTITUTE(SUBSTITUTE(SUBSTITUTE(SUBSTITUTE(SUBSTITUTE(SUBSTITUTE(SUBSTITUTE(SUBSTITUTE(SUBSTITUTE(SUBSTITUTE(D45,"亚庇","Kota Kinabalu"),"公寓","Condo"),"排屋","Terrace"),"别墅","Villa"),"店铺","Shop"),"新山","Johor Bahru"),"市中心","City Centre"),"高级","Premium"),"单位","Unit"),"住宅","Residence"),"")</f>
        <v/>
      </c>
      <c r="Q45" s="31" t="str">
        <f aca="false">IF(D45&lt;&gt;"",SUBSTITUTE(SUBSTITUTE(SUBSTITUTE(SUBSTITUTE(SUBSTITUTE(SUBSTITUTE(SUBSTITUTE(SUBSTITUTE(SUBSTITUTE(SUBSTITUTE(D45,"亚庇","Kota Kinabalu"),"公寓","Kondominium"),"排屋","Rumah Teres"),"别墅","Vila"),"店铺","Kedai"),"新山","Johor Bahru"),"市中心","Pusat Bandar"),"高级","Premium"),"单位","Unit"),"住宅","Kediaman"),"")</f>
        <v/>
      </c>
      <c r="R45" s="31" t="str">
        <f aca="false">IF(D45&lt;&gt;"","📍 "&amp;IF(E45&lt;&gt;"",E45&amp;"房","")&amp;IF(F45&lt;&gt;"",F45&amp;"卫 ","")&amp;IF(G45&lt;&gt;"",G45&amp;" sqft","")&amp;IF(AND(OR(E45&lt;&gt;"",G45&lt;&gt;""),H45&lt;&gt;"")," · ","")&amp;IF(H45&lt;&gt;"",H45,""),"")</f>
        <v/>
      </c>
      <c r="S45" s="31" t="str">
        <f aca="false">IF(D45&lt;&gt;"","📍 "&amp;IF(E45&lt;&gt;"",E45&amp;"BR ","")&amp;IF(F45&lt;&gt;"",F45&amp;"BA ","")&amp;IF(G45&lt;&gt;"",G45&amp;" sqft","")&amp;IF(AND(OR(E45&lt;&gt;"",G45&lt;&gt;""),H45&lt;&gt;"")," · ","")&amp;IF(H45&lt;&gt;"",SUBSTITUTE(SUBSTITUTE(SUBSTITUTE(SUBSTITUTE(SUBSTITUTE(SUBSTITUTE(SUBSTITUTE(SUBSTITUTE(SUBSTITUTE(SUBSTITUTE(H45,"游泳池","Swimming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5" s="31" t="str">
        <f aca="false">IF(D45&lt;&gt;"","📍 "&amp;IF(E45&lt;&gt;"",E45&amp;"Bilik ","")&amp;IF(F45&lt;&gt;"",F45&amp;"Bilik Air ","")&amp;IF(G45&lt;&gt;"",G45&amp;" sqft","")&amp;IF(AND(OR(E45&lt;&gt;"",G45&lt;&gt;""),H45&lt;&gt;"")," · ","")&amp;IF(H45&lt;&gt;"",SUBSTITUTE(SUBSTITUTE(SUBSTITUTE(SUBSTITUTE(SUBSTITUTE(SUBSTITUTE(SUBSTITUTE(SUBSTITUTE(SUBSTITUTE(SUBSTITUTE(H45,"游泳池","Kolam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5" s="32" t="str">
        <f aca="false">IF(OR(I45&lt;&gt;"",J45&lt;&gt;"",K45&lt;&gt;""),"🔒 "&amp;IF(I45&lt;&gt;"",I45,"")&amp;IF(AND(I45&lt;&gt;"",J45&lt;&gt;"")," · ","")&amp;IF(J45&lt;&gt;"",J45,"")&amp;IF(AND(OR(I45&lt;&gt;"",J45&lt;&gt;""),K45&lt;&gt;"")," · ","")&amp;IF(K45&lt;&gt;"",K45,""),"")</f>
        <v/>
      </c>
      <c r="V45" s="31" t="str">
        <f aca="false">IF(L45&lt;&gt;"","💰 售价 RM "&amp;TEXT(L45,"#,##0"),"")</f>
        <v/>
      </c>
      <c r="W45" s="31" t="str">
        <f aca="false">IF(L45&lt;&gt;"","💰 Selling Price RM "&amp;TEXT(L45,"#,##0"),"")</f>
        <v/>
      </c>
      <c r="X45" s="31" t="str">
        <f aca="false">IF(L45&lt;&gt;"","💰 Harga Jualan RM "&amp;TEXT(L45,"#,##0"),"")</f>
        <v/>
      </c>
      <c r="Y45" s="33" t="str">
        <f aca="false">IF(D45&lt;&gt;"","您好！我想咨询购买：
🏠 "&amp;D45&amp;"
"&amp;IF(E45&lt;&gt;"","🛏 "&amp;E45&amp;"房"&amp;IF(F45&lt;&gt;""," "&amp;F45&amp;"卫","")&amp;"
","")&amp;IF(G45&lt;&gt;"","📐 "&amp;G45&amp;" sqft
","")&amp;IF(H45&lt;&gt;"","🏊 "&amp;H45&amp;"
","")&amp;IF(U45&lt;&gt;"",U45&amp;"
","")&amp;IF(L45&lt;&gt;"","💰 售价 RM "&amp;TEXT(L45,"#,##0")&amp;"
","")&amp;"
请问还有空档吗？谢谢！","")</f>
        <v/>
      </c>
      <c r="Z45" s="33" t="str">
        <f aca="false">IF(D45&lt;&gt;"","Hi! I'd like to make a purchase enquiry:
🏠 "&amp;P45&amp;"
"&amp;IF(E45&lt;&gt;"","🛏 "&amp;E45&amp;"BR"&amp;IF(F45&lt;&gt;""," "&amp;F45&amp;"BA","")&amp;"
","")&amp;IF(G45&lt;&gt;"","📐 "&amp;G45&amp;" sqft
","")&amp;IF(H45&lt;&gt;"","🏊 "&amp;SUBSTITUTE(SUBSTITUTE(SUBSTITUTE(SUBSTITUTE(SUBSTITUTE(SUBSTITUTE(SUBSTITUTE(SUBSTITUTE(SUBSTITUTE(SUBSTITUTE(H45,"游泳池","Swimming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","")&amp;IF(L45&lt;&gt;"","💰 Selling Price RM "&amp;TEXT(L45,"#,##0")&amp;"
","")&amp;"
Is this still available? Thank you!","")</f>
        <v/>
      </c>
      <c r="AA45" s="31"/>
      <c r="AB45" s="33" t="str">
        <f aca="false">IF(D45&lt;&gt;"","Helo! Saya ingin membuat pertanyaan pembelian:
🏠 "&amp;Q45&amp;"
"&amp;IF(E45&lt;&gt;"","🛏 "&amp;E45&amp;"Bilik"&amp;IF(F45&lt;&gt;""," "&amp;F45&amp;"Bilik Air","")&amp;"
","")&amp;IF(G45&lt;&gt;"","📐 "&amp;G45&amp;" sqft
","")&amp;IF(H45&lt;&gt;"","🏊 "&amp;SUBSTITUTE(SUBSTITUTE(SUBSTITUTE(SUBSTITUTE(SUBSTITUTE(SUBSTITUTE(SUBSTITUTE(SUBSTITUTE(SUBSTITUTE(SUBSTITUTE(H45,"游泳池","Kolam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","")&amp;IF(L45&lt;&gt;"","💰 Harga Jualan RM "&amp;TEXT(L45,"#,##0")&amp;"
","")&amp;"
Adakah masih tersedia? Terima kasih!","")</f>
        <v/>
      </c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9"/>
      <c r="J46" s="29"/>
      <c r="K46" s="29"/>
      <c r="L46" s="28"/>
      <c r="M46" s="30"/>
      <c r="N46" s="31" t="str">
        <f aca="false">IFERROR(ifs(B46="🏢 Condo 公寓","fa-building",B46="🏠 Apartment 单位","fa-home",B46="🌿 即租即住","fa-home",B46="🌿 近国际学校","fa-school",B46="📌 商业旺铺","fa-store",B46="🌟 海景豪宅","fa-water-ladder",B46="📈 投资优选","fa-chart-line",B46="🏞️ 花园住宅","fa-tree",B46="🌟 2026全新地标","fa-drafting-compass",B46="📈 海外投资优选","fa-globe",B46="🌆 核心地段","fa-city",B46="🔥 限时优惠","fa-fire",B46="✅ 永久产权","fa-certificate",B46="🏅 高回报","fa-medal",B46="🏖️ 度假胜地","fa-umbrella-beach",B46="🏫 学区优选","fa-graduation-cap",B46="🛣️ 交通便利","fa-road",B46="🔑 即买即住","fa-key"),"fa-home")</f>
        <v>fa-home</v>
      </c>
      <c r="O46" s="31" t="str">
        <f aca="false">IF(D46&lt;&gt;"",D46,"")</f>
        <v/>
      </c>
      <c r="P46" s="31" t="str">
        <f aca="false">IF(D46&lt;&gt;"",SUBSTITUTE(SUBSTITUTE(SUBSTITUTE(SUBSTITUTE(SUBSTITUTE(SUBSTITUTE(SUBSTITUTE(SUBSTITUTE(SUBSTITUTE(SUBSTITUTE(D46,"亚庇","Kota Kinabalu"),"公寓","Condo"),"排屋","Terrace"),"别墅","Villa"),"店铺","Shop"),"新山","Johor Bahru"),"市中心","City Centre"),"高级","Premium"),"单位","Unit"),"住宅","Residence"),"")</f>
        <v/>
      </c>
      <c r="Q46" s="31" t="str">
        <f aca="false">IF(D46&lt;&gt;"",SUBSTITUTE(SUBSTITUTE(SUBSTITUTE(SUBSTITUTE(SUBSTITUTE(SUBSTITUTE(SUBSTITUTE(SUBSTITUTE(SUBSTITUTE(SUBSTITUTE(D46,"亚庇","Kota Kinabalu"),"公寓","Kondominium"),"排屋","Rumah Teres"),"别墅","Vila"),"店铺","Kedai"),"新山","Johor Bahru"),"市中心","Pusat Bandar"),"高级","Premium"),"单位","Unit"),"住宅","Kediaman"),"")</f>
        <v/>
      </c>
      <c r="R46" s="31" t="str">
        <f aca="false">IF(D46&lt;&gt;"","📍 "&amp;IF(E46&lt;&gt;"",E46&amp;"房","")&amp;IF(F46&lt;&gt;"",F46&amp;"卫 ","")&amp;IF(G46&lt;&gt;"",G46&amp;" sqft","")&amp;IF(AND(OR(E46&lt;&gt;"",G46&lt;&gt;""),H46&lt;&gt;"")," · ","")&amp;IF(H46&lt;&gt;"",H46,""),"")</f>
        <v/>
      </c>
      <c r="S46" s="31" t="str">
        <f aca="false">IF(D46&lt;&gt;"","📍 "&amp;IF(E46&lt;&gt;"",E46&amp;"BR ","")&amp;IF(F46&lt;&gt;"",F46&amp;"BA ","")&amp;IF(G46&lt;&gt;"",G46&amp;" sqft","")&amp;IF(AND(OR(E46&lt;&gt;"",G46&lt;&gt;""),H46&lt;&gt;"")," · ","")&amp;IF(H46&lt;&gt;"",SUBSTITUTE(SUBSTITUTE(SUBSTITUTE(SUBSTITUTE(SUBSTITUTE(SUBSTITUTE(SUBSTITUTE(SUBSTITUTE(SUBSTITUTE(SUBSTITUTE(H46,"游泳池","Swimming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6" s="31" t="str">
        <f aca="false">IF(D46&lt;&gt;"","📍 "&amp;IF(E46&lt;&gt;"",E46&amp;"Bilik ","")&amp;IF(F46&lt;&gt;"",F46&amp;"Bilik Air ","")&amp;IF(G46&lt;&gt;"",G46&amp;" sqft","")&amp;IF(AND(OR(E46&lt;&gt;"",G46&lt;&gt;""),H46&lt;&gt;"")," · ","")&amp;IF(H46&lt;&gt;"",SUBSTITUTE(SUBSTITUTE(SUBSTITUTE(SUBSTITUTE(SUBSTITUTE(SUBSTITUTE(SUBSTITUTE(SUBSTITUTE(SUBSTITUTE(SUBSTITUTE(H46,"游泳池","Kolam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6" s="32" t="str">
        <f aca="false">IF(OR(I46&lt;&gt;"",J46&lt;&gt;"",K46&lt;&gt;""),"🔒 "&amp;IF(I46&lt;&gt;"",I46,"")&amp;IF(AND(I46&lt;&gt;"",J46&lt;&gt;"")," · ","")&amp;IF(J46&lt;&gt;"",J46,"")&amp;IF(AND(OR(I46&lt;&gt;"",J46&lt;&gt;""),K46&lt;&gt;"")," · ","")&amp;IF(K46&lt;&gt;"",K46,""),"")</f>
        <v/>
      </c>
      <c r="V46" s="31" t="str">
        <f aca="false">IF(L46&lt;&gt;"","💰 售价 RM "&amp;TEXT(L46,"#,##0"),"")</f>
        <v/>
      </c>
      <c r="W46" s="31" t="str">
        <f aca="false">IF(L46&lt;&gt;"","💰 Selling Price RM "&amp;TEXT(L46,"#,##0"),"")</f>
        <v/>
      </c>
      <c r="X46" s="31" t="str">
        <f aca="false">IF(L46&lt;&gt;"","💰 Harga Jualan RM "&amp;TEXT(L46,"#,##0"),"")</f>
        <v/>
      </c>
      <c r="Y46" s="33" t="str">
        <f aca="false">IF(D46&lt;&gt;"","您好！我想咨询购买：
🏠 "&amp;D46&amp;"
"&amp;IF(E46&lt;&gt;"","🛏 "&amp;E46&amp;"房"&amp;IF(F46&lt;&gt;""," "&amp;F46&amp;"卫","")&amp;"
","")&amp;IF(G46&lt;&gt;"","📐 "&amp;G46&amp;" sqft
","")&amp;IF(H46&lt;&gt;"","🏊 "&amp;H46&amp;"
","")&amp;IF(U46&lt;&gt;"",U46&amp;"
","")&amp;IF(L46&lt;&gt;"","💰 售价 RM "&amp;TEXT(L46,"#,##0")&amp;"
","")&amp;"
请问还有空档吗？谢谢！","")</f>
        <v/>
      </c>
      <c r="Z46" s="33" t="str">
        <f aca="false">IF(D46&lt;&gt;"","Hi! I'd like to make a purchase enquiry:
🏠 "&amp;P46&amp;"
"&amp;IF(E46&lt;&gt;"","🛏 "&amp;E46&amp;"BR"&amp;IF(F46&lt;&gt;""," "&amp;F46&amp;"BA","")&amp;"
","")&amp;IF(G46&lt;&gt;"","📐 "&amp;G46&amp;" sqft
","")&amp;IF(H46&lt;&gt;"","🏊 "&amp;SUBSTITUTE(SUBSTITUTE(SUBSTITUTE(SUBSTITUTE(SUBSTITUTE(SUBSTITUTE(SUBSTITUTE(SUBSTITUTE(SUBSTITUTE(SUBSTITUTE(H46,"游泳池","Swimming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","")&amp;IF(L46&lt;&gt;"","💰 Selling Price RM "&amp;TEXT(L46,"#,##0")&amp;"
","")&amp;"
Is this still available? Thank you!","")</f>
        <v/>
      </c>
      <c r="AA46" s="31"/>
      <c r="AB46" s="33" t="str">
        <f aca="false">IF(D46&lt;&gt;"","Helo! Saya ingin membuat pertanyaan pembelian:
🏠 "&amp;Q46&amp;"
"&amp;IF(E46&lt;&gt;"","🛏 "&amp;E46&amp;"Bilik"&amp;IF(F46&lt;&gt;""," "&amp;F46&amp;"Bilik Air","")&amp;"
","")&amp;IF(G46&lt;&gt;"","📐 "&amp;G46&amp;" sqft
","")&amp;IF(H46&lt;&gt;"","🏊 "&amp;SUBSTITUTE(SUBSTITUTE(SUBSTITUTE(SUBSTITUTE(SUBSTITUTE(SUBSTITUTE(SUBSTITUTE(SUBSTITUTE(SUBSTITUTE(SUBSTITUTE(H46,"游泳池","Kolam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","")&amp;IF(L46&lt;&gt;"","💰 Harga Jualan RM "&amp;TEXT(L46,"#,##0")&amp;"
","")&amp;"
Adakah masih tersedia? Terima kasih!","")</f>
        <v/>
      </c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9"/>
      <c r="J47" s="29"/>
      <c r="K47" s="29"/>
      <c r="L47" s="28"/>
      <c r="M47" s="30"/>
      <c r="N47" s="31" t="str">
        <f aca="false">IFERROR(ifs(B47="🏢 Condo 公寓","fa-building",B47="🏠 Apartment 单位","fa-home",B47="🌿 即租即住","fa-home",B47="🌿 近国际学校","fa-school",B47="📌 商业旺铺","fa-store",B47="🌟 海景豪宅","fa-water-ladder",B47="📈 投资优选","fa-chart-line",B47="🏞️ 花园住宅","fa-tree",B47="🌟 2026全新地标","fa-drafting-compass",B47="📈 海外投资优选","fa-globe",B47="🌆 核心地段","fa-city",B47="🔥 限时优惠","fa-fire",B47="✅ 永久产权","fa-certificate",B47="🏅 高回报","fa-medal",B47="🏖️ 度假胜地","fa-umbrella-beach",B47="🏫 学区优选","fa-graduation-cap",B47="🛣️ 交通便利","fa-road",B47="🔑 即买即住","fa-key"),"fa-home")</f>
        <v>fa-home</v>
      </c>
      <c r="O47" s="31" t="str">
        <f aca="false">IF(D47&lt;&gt;"",D47,"")</f>
        <v/>
      </c>
      <c r="P47" s="31" t="str">
        <f aca="false">IF(D47&lt;&gt;"",SUBSTITUTE(SUBSTITUTE(SUBSTITUTE(SUBSTITUTE(SUBSTITUTE(SUBSTITUTE(SUBSTITUTE(SUBSTITUTE(SUBSTITUTE(SUBSTITUTE(D47,"亚庇","Kota Kinabalu"),"公寓","Condo"),"排屋","Terrace"),"别墅","Villa"),"店铺","Shop"),"新山","Johor Bahru"),"市中心","City Centre"),"高级","Premium"),"单位","Unit"),"住宅","Residence"),"")</f>
        <v/>
      </c>
      <c r="Q47" s="31" t="str">
        <f aca="false">IF(D47&lt;&gt;"",SUBSTITUTE(SUBSTITUTE(SUBSTITUTE(SUBSTITUTE(SUBSTITUTE(SUBSTITUTE(SUBSTITUTE(SUBSTITUTE(SUBSTITUTE(SUBSTITUTE(D47,"亚庇","Kota Kinabalu"),"公寓","Kondominium"),"排屋","Rumah Teres"),"别墅","Vila"),"店铺","Kedai"),"新山","Johor Bahru"),"市中心","Pusat Bandar"),"高级","Premium"),"单位","Unit"),"住宅","Kediaman"),"")</f>
        <v/>
      </c>
      <c r="R47" s="31" t="str">
        <f aca="false">IF(D47&lt;&gt;"","📍 "&amp;IF(E47&lt;&gt;"",E47&amp;"房","")&amp;IF(F47&lt;&gt;"",F47&amp;"卫 ","")&amp;IF(G47&lt;&gt;"",G47&amp;" sqft","")&amp;IF(AND(OR(E47&lt;&gt;"",G47&lt;&gt;""),H47&lt;&gt;"")," · ","")&amp;IF(H47&lt;&gt;"",H47,""),"")</f>
        <v/>
      </c>
      <c r="S47" s="31" t="str">
        <f aca="false">IF(D47&lt;&gt;"","📍 "&amp;IF(E47&lt;&gt;"",E47&amp;"BR ","")&amp;IF(F47&lt;&gt;"",F47&amp;"BA ","")&amp;IF(G47&lt;&gt;"",G47&amp;" sqft","")&amp;IF(AND(OR(E47&lt;&gt;"",G47&lt;&gt;""),H47&lt;&gt;"")," · ","")&amp;IF(H47&lt;&gt;"",SUBSTITUTE(SUBSTITUTE(SUBSTITUTE(SUBSTITUTE(SUBSTITUTE(SUBSTITUTE(SUBSTITUTE(SUBSTITUTE(SUBSTITUTE(SUBSTITUTE(H47,"游泳池","Swimming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7" s="31" t="str">
        <f aca="false">IF(D47&lt;&gt;"","📍 "&amp;IF(E47&lt;&gt;"",E47&amp;"Bilik ","")&amp;IF(F47&lt;&gt;"",F47&amp;"Bilik Air ","")&amp;IF(G47&lt;&gt;"",G47&amp;" sqft","")&amp;IF(AND(OR(E47&lt;&gt;"",G47&lt;&gt;""),H47&lt;&gt;"")," · ","")&amp;IF(H47&lt;&gt;"",SUBSTITUTE(SUBSTITUTE(SUBSTITUTE(SUBSTITUTE(SUBSTITUTE(SUBSTITUTE(SUBSTITUTE(SUBSTITUTE(SUBSTITUTE(SUBSTITUTE(H47,"游泳池","Kolam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7" s="32" t="str">
        <f aca="false">IF(OR(I47&lt;&gt;"",J47&lt;&gt;"",K47&lt;&gt;""),"🔒 "&amp;IF(I47&lt;&gt;"",I47,"")&amp;IF(AND(I47&lt;&gt;"",J47&lt;&gt;"")," · ","")&amp;IF(J47&lt;&gt;"",J47,"")&amp;IF(AND(OR(I47&lt;&gt;"",J47&lt;&gt;""),K47&lt;&gt;"")," · ","")&amp;IF(K47&lt;&gt;"",K47,""),"")</f>
        <v/>
      </c>
      <c r="V47" s="31" t="str">
        <f aca="false">IF(L47&lt;&gt;"","💰 售价 RM "&amp;TEXT(L47,"#,##0"),"")</f>
        <v/>
      </c>
      <c r="W47" s="31" t="str">
        <f aca="false">IF(L47&lt;&gt;"","💰 Selling Price RM "&amp;TEXT(L47,"#,##0"),"")</f>
        <v/>
      </c>
      <c r="X47" s="31" t="str">
        <f aca="false">IF(L47&lt;&gt;"","💰 Harga Jualan RM "&amp;TEXT(L47,"#,##0"),"")</f>
        <v/>
      </c>
      <c r="Y47" s="33" t="str">
        <f aca="false">IF(D47&lt;&gt;"","您好！我想咨询购买：
🏠 "&amp;D47&amp;"
"&amp;IF(E47&lt;&gt;"","🛏 "&amp;E47&amp;"房"&amp;IF(F47&lt;&gt;""," "&amp;F47&amp;"卫","")&amp;"
","")&amp;IF(G47&lt;&gt;"","📐 "&amp;G47&amp;" sqft
","")&amp;IF(H47&lt;&gt;"","🏊 "&amp;H47&amp;"
","")&amp;IF(U47&lt;&gt;"",U47&amp;"
","")&amp;IF(L47&lt;&gt;"","💰 售价 RM "&amp;TEXT(L47,"#,##0")&amp;"
","")&amp;"
请问还有空档吗？谢谢！","")</f>
        <v/>
      </c>
      <c r="Z47" s="33" t="str">
        <f aca="false">IF(D47&lt;&gt;"","Hi! I'd like to make a purchase enquiry:
🏠 "&amp;P47&amp;"
"&amp;IF(E47&lt;&gt;"","🛏 "&amp;E47&amp;"BR"&amp;IF(F47&lt;&gt;""," "&amp;F47&amp;"BA","")&amp;"
","")&amp;IF(G47&lt;&gt;"","📐 "&amp;G47&amp;" sqft
","")&amp;IF(H47&lt;&gt;"","🏊 "&amp;SUBSTITUTE(SUBSTITUTE(SUBSTITUTE(SUBSTITUTE(SUBSTITUTE(SUBSTITUTE(SUBSTITUTE(SUBSTITUTE(SUBSTITUTE(SUBSTITUTE(H47,"游泳池","Swimming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","")&amp;IF(L47&lt;&gt;"","💰 Selling Price RM "&amp;TEXT(L47,"#,##0")&amp;"
","")&amp;"
Is this still available? Thank you!","")</f>
        <v/>
      </c>
      <c r="AA47" s="31"/>
      <c r="AB47" s="33" t="str">
        <f aca="false">IF(D47&lt;&gt;"","Helo! Saya ingin membuat pertanyaan pembelian:
🏠 "&amp;Q47&amp;"
"&amp;IF(E47&lt;&gt;"","🛏 "&amp;E47&amp;"Bilik"&amp;IF(F47&lt;&gt;""," "&amp;F47&amp;"Bilik Air","")&amp;"
","")&amp;IF(G47&lt;&gt;"","📐 "&amp;G47&amp;" sqft
","")&amp;IF(H47&lt;&gt;"","🏊 "&amp;SUBSTITUTE(SUBSTITUTE(SUBSTITUTE(SUBSTITUTE(SUBSTITUTE(SUBSTITUTE(SUBSTITUTE(SUBSTITUTE(SUBSTITUTE(SUBSTITUTE(H47,"游泳池","Kolam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","")&amp;IF(L47&lt;&gt;"","💰 Harga Jualan RM "&amp;TEXT(L47,"#,##0")&amp;"
","")&amp;"
Adakah masih tersedia? Terima kasih!","")</f>
        <v/>
      </c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9"/>
      <c r="J48" s="29"/>
      <c r="K48" s="29"/>
      <c r="L48" s="28"/>
      <c r="M48" s="30"/>
      <c r="N48" s="31" t="str">
        <f aca="false">IFERROR(ifs(B48="🏢 Condo 公寓","fa-building",B48="🏠 Apartment 单位","fa-home",B48="🌿 即租即住","fa-home",B48="🌿 近国际学校","fa-school",B48="📌 商业旺铺","fa-store",B48="🌟 海景豪宅","fa-water-ladder",B48="📈 投资优选","fa-chart-line",B48="🏞️ 花园住宅","fa-tree",B48="🌟 2026全新地标","fa-drafting-compass",B48="📈 海外投资优选","fa-globe",B48="🌆 核心地段","fa-city",B48="🔥 限时优惠","fa-fire",B48="✅ 永久产权","fa-certificate",B48="🏅 高回报","fa-medal",B48="🏖️ 度假胜地","fa-umbrella-beach",B48="🏫 学区优选","fa-graduation-cap",B48="🛣️ 交通便利","fa-road",B48="🔑 即买即住","fa-key"),"fa-home")</f>
        <v>fa-home</v>
      </c>
      <c r="O48" s="31" t="str">
        <f aca="false">IF(D48&lt;&gt;"",D48,"")</f>
        <v/>
      </c>
      <c r="P48" s="31" t="str">
        <f aca="false">IF(D48&lt;&gt;"",SUBSTITUTE(SUBSTITUTE(SUBSTITUTE(SUBSTITUTE(SUBSTITUTE(SUBSTITUTE(SUBSTITUTE(SUBSTITUTE(SUBSTITUTE(SUBSTITUTE(D48,"亚庇","Kota Kinabalu"),"公寓","Condo"),"排屋","Terrace"),"别墅","Villa"),"店铺","Shop"),"新山","Johor Bahru"),"市中心","City Centre"),"高级","Premium"),"单位","Unit"),"住宅","Residence"),"")</f>
        <v/>
      </c>
      <c r="Q48" s="31" t="str">
        <f aca="false">IF(D48&lt;&gt;"",SUBSTITUTE(SUBSTITUTE(SUBSTITUTE(SUBSTITUTE(SUBSTITUTE(SUBSTITUTE(SUBSTITUTE(SUBSTITUTE(SUBSTITUTE(SUBSTITUTE(D48,"亚庇","Kota Kinabalu"),"公寓","Kondominium"),"排屋","Rumah Teres"),"别墅","Vila"),"店铺","Kedai"),"新山","Johor Bahru"),"市中心","Pusat Bandar"),"高级","Premium"),"单位","Unit"),"住宅","Kediaman"),"")</f>
        <v/>
      </c>
      <c r="R48" s="31" t="str">
        <f aca="false">IF(D48&lt;&gt;"","📍 "&amp;IF(E48&lt;&gt;"",E48&amp;"房","")&amp;IF(F48&lt;&gt;"",F48&amp;"卫 ","")&amp;IF(G48&lt;&gt;"",G48&amp;" sqft","")&amp;IF(AND(OR(E48&lt;&gt;"",G48&lt;&gt;""),H48&lt;&gt;"")," · ","")&amp;IF(H48&lt;&gt;"",H48,""),"")</f>
        <v/>
      </c>
      <c r="S48" s="31" t="str">
        <f aca="false">IF(D48&lt;&gt;"","📍 "&amp;IF(E48&lt;&gt;"",E48&amp;"BR ","")&amp;IF(F48&lt;&gt;"",F48&amp;"BA ","")&amp;IF(G48&lt;&gt;"",G48&amp;" sqft","")&amp;IF(AND(OR(E48&lt;&gt;"",G48&lt;&gt;""),H48&lt;&gt;"")," · ","")&amp;IF(H48&lt;&gt;"",SUBSTITUTE(SUBSTITUTE(SUBSTITUTE(SUBSTITUTE(SUBSTITUTE(SUBSTITUTE(SUBSTITUTE(SUBSTITUTE(SUBSTITUTE(SUBSTITUTE(H48,"游泳池","Swimming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8" s="31" t="str">
        <f aca="false">IF(D48&lt;&gt;"","📍 "&amp;IF(E48&lt;&gt;"",E48&amp;"Bilik ","")&amp;IF(F48&lt;&gt;"",F48&amp;"Bilik Air ","")&amp;IF(G48&lt;&gt;"",G48&amp;" sqft","")&amp;IF(AND(OR(E48&lt;&gt;"",G48&lt;&gt;""),H48&lt;&gt;"")," · ","")&amp;IF(H48&lt;&gt;"",SUBSTITUTE(SUBSTITUTE(SUBSTITUTE(SUBSTITUTE(SUBSTITUTE(SUBSTITUTE(SUBSTITUTE(SUBSTITUTE(SUBSTITUTE(SUBSTITUTE(H48,"游泳池","Kolam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8" s="32" t="str">
        <f aca="false">IF(OR(I48&lt;&gt;"",J48&lt;&gt;"",K48&lt;&gt;""),"🔒 "&amp;IF(I48&lt;&gt;"",I48,"")&amp;IF(AND(I48&lt;&gt;"",J48&lt;&gt;"")," · ","")&amp;IF(J48&lt;&gt;"",J48,"")&amp;IF(AND(OR(I48&lt;&gt;"",J48&lt;&gt;""),K48&lt;&gt;"")," · ","")&amp;IF(K48&lt;&gt;"",K48,""),"")</f>
        <v/>
      </c>
      <c r="V48" s="31" t="str">
        <f aca="false">IF(L48&lt;&gt;"","💰 售价 RM "&amp;TEXT(L48,"#,##0"),"")</f>
        <v/>
      </c>
      <c r="W48" s="31" t="str">
        <f aca="false">IF(L48&lt;&gt;"","💰 Selling Price RM "&amp;TEXT(L48,"#,##0"),"")</f>
        <v/>
      </c>
      <c r="X48" s="31" t="str">
        <f aca="false">IF(L48&lt;&gt;"","💰 Harga Jualan RM "&amp;TEXT(L48,"#,##0"),"")</f>
        <v/>
      </c>
      <c r="Y48" s="33" t="str">
        <f aca="false">IF(D48&lt;&gt;"","您好！我想咨询购买：
🏠 "&amp;D48&amp;"
"&amp;IF(E48&lt;&gt;"","🛏 "&amp;E48&amp;"房"&amp;IF(F48&lt;&gt;""," "&amp;F48&amp;"卫","")&amp;"
","")&amp;IF(G48&lt;&gt;"","📐 "&amp;G48&amp;" sqft
","")&amp;IF(H48&lt;&gt;"","🏊 "&amp;H48&amp;"
","")&amp;IF(U48&lt;&gt;"",U48&amp;"
","")&amp;IF(L48&lt;&gt;"","💰 售价 RM "&amp;TEXT(L48,"#,##0")&amp;"
","")&amp;"
请问还有空档吗？谢谢！","")</f>
        <v/>
      </c>
      <c r="Z48" s="33" t="str">
        <f aca="false">IF(D48&lt;&gt;"","Hi! I'd like to make a purchase enquiry:
🏠 "&amp;P48&amp;"
"&amp;IF(E48&lt;&gt;"","🛏 "&amp;E48&amp;"BR"&amp;IF(F48&lt;&gt;""," "&amp;F48&amp;"BA","")&amp;"
","")&amp;IF(G48&lt;&gt;"","📐 "&amp;G48&amp;" sqft
","")&amp;IF(H48&lt;&gt;"","🏊 "&amp;SUBSTITUTE(SUBSTITUTE(SUBSTITUTE(SUBSTITUTE(SUBSTITUTE(SUBSTITUTE(SUBSTITUTE(SUBSTITUTE(SUBSTITUTE(SUBSTITUTE(H48,"游泳池","Swimming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","")&amp;IF(L48&lt;&gt;"","💰 Selling Price RM "&amp;TEXT(L48,"#,##0")&amp;"
","")&amp;"
Is this still available? Thank you!","")</f>
        <v/>
      </c>
      <c r="AA48" s="31"/>
      <c r="AB48" s="33" t="str">
        <f aca="false">IF(D48&lt;&gt;"","Helo! Saya ingin membuat pertanyaan pembelian:
🏠 "&amp;Q48&amp;"
"&amp;IF(E48&lt;&gt;"","🛏 "&amp;E48&amp;"Bilik"&amp;IF(F48&lt;&gt;""," "&amp;F48&amp;"Bilik Air","")&amp;"
","")&amp;IF(G48&lt;&gt;"","📐 "&amp;G48&amp;" sqft
","")&amp;IF(H48&lt;&gt;"","🏊 "&amp;SUBSTITUTE(SUBSTITUTE(SUBSTITUTE(SUBSTITUTE(SUBSTITUTE(SUBSTITUTE(SUBSTITUTE(SUBSTITUTE(SUBSTITUTE(SUBSTITUTE(H48,"游泳池","Kolam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","")&amp;IF(L48&lt;&gt;"","💰 Harga Jualan RM "&amp;TEXT(L48,"#,##0")&amp;"
","")&amp;"
Adakah masih tersedia? Terima kasih!","")</f>
        <v/>
      </c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9"/>
      <c r="J49" s="29"/>
      <c r="K49" s="29"/>
      <c r="L49" s="28"/>
      <c r="M49" s="30"/>
      <c r="N49" s="31" t="str">
        <f aca="false">IFERROR(ifs(B49="🏢 Condo 公寓","fa-building",B49="🏠 Apartment 单位","fa-home",B49="🌿 即租即住","fa-home",B49="🌿 近国际学校","fa-school",B49="📌 商业旺铺","fa-store",B49="🌟 海景豪宅","fa-water-ladder",B49="📈 投资优选","fa-chart-line",B49="🏞️ 花园住宅","fa-tree",B49="🌟 2026全新地标","fa-drafting-compass",B49="📈 海外投资优选","fa-globe",B49="🌆 核心地段","fa-city",B49="🔥 限时优惠","fa-fire",B49="✅ 永久产权","fa-certificate",B49="🏅 高回报","fa-medal",B49="🏖️ 度假胜地","fa-umbrella-beach",B49="🏫 学区优选","fa-graduation-cap",B49="🛣️ 交通便利","fa-road",B49="🔑 即买即住","fa-key"),"fa-home")</f>
        <v>fa-home</v>
      </c>
      <c r="O49" s="31" t="str">
        <f aca="false">IF(D49&lt;&gt;"",D49,"")</f>
        <v/>
      </c>
      <c r="P49" s="31" t="str">
        <f aca="false">IF(D49&lt;&gt;"",SUBSTITUTE(SUBSTITUTE(SUBSTITUTE(SUBSTITUTE(SUBSTITUTE(SUBSTITUTE(SUBSTITUTE(SUBSTITUTE(SUBSTITUTE(SUBSTITUTE(D49,"亚庇","Kota Kinabalu"),"公寓","Condo"),"排屋","Terrace"),"别墅","Villa"),"店铺","Shop"),"新山","Johor Bahru"),"市中心","City Centre"),"高级","Premium"),"单位","Unit"),"住宅","Residence"),"")</f>
        <v/>
      </c>
      <c r="Q49" s="31" t="str">
        <f aca="false">IF(D49&lt;&gt;"",SUBSTITUTE(SUBSTITUTE(SUBSTITUTE(SUBSTITUTE(SUBSTITUTE(SUBSTITUTE(SUBSTITUTE(SUBSTITUTE(SUBSTITUTE(SUBSTITUTE(D49,"亚庇","Kota Kinabalu"),"公寓","Kondominium"),"排屋","Rumah Teres"),"别墅","Vila"),"店铺","Kedai"),"新山","Johor Bahru"),"市中心","Pusat Bandar"),"高级","Premium"),"单位","Unit"),"住宅","Kediaman"),"")</f>
        <v/>
      </c>
      <c r="R49" s="31" t="str">
        <f aca="false">IF(D49&lt;&gt;"","📍 "&amp;IF(E49&lt;&gt;"",E49&amp;"房","")&amp;IF(F49&lt;&gt;"",F49&amp;"卫 ","")&amp;IF(G49&lt;&gt;"",G49&amp;" sqft","")&amp;IF(AND(OR(E49&lt;&gt;"",G49&lt;&gt;""),H49&lt;&gt;"")," · ","")&amp;IF(H49&lt;&gt;"",H49,""),"")</f>
        <v/>
      </c>
      <c r="S49" s="31" t="str">
        <f aca="false">IF(D49&lt;&gt;"","📍 "&amp;IF(E49&lt;&gt;"",E49&amp;"BR ","")&amp;IF(F49&lt;&gt;"",F49&amp;"BA ","")&amp;IF(G49&lt;&gt;"",G49&amp;" sqft","")&amp;IF(AND(OR(E49&lt;&gt;"",G49&lt;&gt;""),H49&lt;&gt;"")," · ","")&amp;IF(H49&lt;&gt;"",SUBSTITUTE(SUBSTITUTE(SUBSTITUTE(SUBSTITUTE(SUBSTITUTE(SUBSTITUTE(SUBSTITUTE(SUBSTITUTE(SUBSTITUTE(SUBSTITUTE(H49,"游泳池","Swimming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9" s="31" t="str">
        <f aca="false">IF(D49&lt;&gt;"","📍 "&amp;IF(E49&lt;&gt;"",E49&amp;"Bilik ","")&amp;IF(F49&lt;&gt;"",F49&amp;"Bilik Air ","")&amp;IF(G49&lt;&gt;"",G49&amp;" sqft","")&amp;IF(AND(OR(E49&lt;&gt;"",G49&lt;&gt;""),H49&lt;&gt;"")," · ","")&amp;IF(H49&lt;&gt;"",SUBSTITUTE(SUBSTITUTE(SUBSTITUTE(SUBSTITUTE(SUBSTITUTE(SUBSTITUTE(SUBSTITUTE(SUBSTITUTE(SUBSTITUTE(SUBSTITUTE(H49,"游泳池","Kolam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9" s="32" t="str">
        <f aca="false">IF(OR(I49&lt;&gt;"",J49&lt;&gt;"",K49&lt;&gt;""),"🔒 "&amp;IF(I49&lt;&gt;"",I49,"")&amp;IF(AND(I49&lt;&gt;"",J49&lt;&gt;"")," · ","")&amp;IF(J49&lt;&gt;"",J49,"")&amp;IF(AND(OR(I49&lt;&gt;"",J49&lt;&gt;""),K49&lt;&gt;"")," · ","")&amp;IF(K49&lt;&gt;"",K49,""),"")</f>
        <v/>
      </c>
      <c r="V49" s="31" t="str">
        <f aca="false">IF(L49&lt;&gt;"","💰 售价 RM "&amp;TEXT(L49,"#,##0"),"")</f>
        <v/>
      </c>
      <c r="W49" s="31" t="str">
        <f aca="false">IF(L49&lt;&gt;"","💰 Selling Price RM "&amp;TEXT(L49,"#,##0"),"")</f>
        <v/>
      </c>
      <c r="X49" s="31" t="str">
        <f aca="false">IF(L49&lt;&gt;"","💰 Harga Jualan RM "&amp;TEXT(L49,"#,##0"),"")</f>
        <v/>
      </c>
      <c r="Y49" s="33" t="str">
        <f aca="false">IF(D49&lt;&gt;"","您好！我想咨询购买：
🏠 "&amp;D49&amp;"
"&amp;IF(E49&lt;&gt;"","🛏 "&amp;E49&amp;"房"&amp;IF(F49&lt;&gt;""," "&amp;F49&amp;"卫","")&amp;"
","")&amp;IF(G49&lt;&gt;"","📐 "&amp;G49&amp;" sqft
","")&amp;IF(H49&lt;&gt;"","🏊 "&amp;H49&amp;"
","")&amp;IF(U49&lt;&gt;"",U49&amp;"
","")&amp;IF(L49&lt;&gt;"","💰 售价 RM "&amp;TEXT(L49,"#,##0")&amp;"
","")&amp;"
请问还有空档吗？谢谢！","")</f>
        <v/>
      </c>
      <c r="Z49" s="33" t="str">
        <f aca="false">IF(D49&lt;&gt;"","Hi! I'd like to make a purchase enquiry:
🏠 "&amp;P49&amp;"
"&amp;IF(E49&lt;&gt;"","🛏 "&amp;E49&amp;"BR"&amp;IF(F49&lt;&gt;""," "&amp;F49&amp;"BA","")&amp;"
","")&amp;IF(G49&lt;&gt;"","📐 "&amp;G49&amp;" sqft
","")&amp;IF(H49&lt;&gt;"","🏊 "&amp;SUBSTITUTE(SUBSTITUTE(SUBSTITUTE(SUBSTITUTE(SUBSTITUTE(SUBSTITUTE(SUBSTITUTE(SUBSTITUTE(SUBSTITUTE(SUBSTITUTE(H49,"游泳池","Swimming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","")&amp;IF(L49&lt;&gt;"","💰 Selling Price RM "&amp;TEXT(L49,"#,##0")&amp;"
","")&amp;"
Is this still available? Thank you!","")</f>
        <v/>
      </c>
      <c r="AA49" s="31"/>
      <c r="AB49" s="33" t="str">
        <f aca="false">IF(D49&lt;&gt;"","Helo! Saya ingin membuat pertanyaan pembelian:
🏠 "&amp;Q49&amp;"
"&amp;IF(E49&lt;&gt;"","🛏 "&amp;E49&amp;"Bilik"&amp;IF(F49&lt;&gt;""," "&amp;F49&amp;"Bilik Air","")&amp;"
","")&amp;IF(G49&lt;&gt;"","📐 "&amp;G49&amp;" sqft
","")&amp;IF(H49&lt;&gt;"","🏊 "&amp;SUBSTITUTE(SUBSTITUTE(SUBSTITUTE(SUBSTITUTE(SUBSTITUTE(SUBSTITUTE(SUBSTITUTE(SUBSTITUTE(SUBSTITUTE(SUBSTITUTE(H49,"游泳池","Kolam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","")&amp;IF(L49&lt;&gt;"","💰 Harga Jualan RM "&amp;TEXT(L49,"#,##0")&amp;"
","")&amp;"
Adakah masih tersedia? Terima kasih!","")</f>
        <v/>
      </c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9"/>
      <c r="J50" s="29"/>
      <c r="K50" s="29"/>
      <c r="L50" s="28"/>
      <c r="M50" s="30"/>
      <c r="N50" s="31" t="str">
        <f aca="false">IFERROR(ifs(B50="🏢 Condo 公寓","fa-building",B50="🏠 Apartment 单位","fa-home",B50="🌿 即租即住","fa-home",B50="🌿 近国际学校","fa-school",B50="📌 商业旺铺","fa-store",B50="🌟 海景豪宅","fa-water-ladder",B50="📈 投资优选","fa-chart-line",B50="🏞️ 花园住宅","fa-tree",B50="🌟 2026全新地标","fa-drafting-compass",B50="📈 海外投资优选","fa-globe",B50="🌆 核心地段","fa-city",B50="🔥 限时优惠","fa-fire",B50="✅ 永久产权","fa-certificate",B50="🏅 高回报","fa-medal",B50="🏖️ 度假胜地","fa-umbrella-beach",B50="🏫 学区优选","fa-graduation-cap",B50="🛣️ 交通便利","fa-road",B50="🔑 即买即住","fa-key"),"fa-home")</f>
        <v>fa-home</v>
      </c>
      <c r="O50" s="31" t="str">
        <f aca="false">IF(D50&lt;&gt;"",D50,"")</f>
        <v/>
      </c>
      <c r="P50" s="31" t="str">
        <f aca="false">IF(D50&lt;&gt;"",SUBSTITUTE(SUBSTITUTE(SUBSTITUTE(SUBSTITUTE(SUBSTITUTE(SUBSTITUTE(SUBSTITUTE(SUBSTITUTE(SUBSTITUTE(SUBSTITUTE(D50,"亚庇","Kota Kinabalu"),"公寓","Condo"),"排屋","Terrace"),"别墅","Villa"),"店铺","Shop"),"新山","Johor Bahru"),"市中心","City Centre"),"高级","Premium"),"单位","Unit"),"住宅","Residence"),"")</f>
        <v/>
      </c>
      <c r="Q50" s="31" t="str">
        <f aca="false">IF(D50&lt;&gt;"",SUBSTITUTE(SUBSTITUTE(SUBSTITUTE(SUBSTITUTE(SUBSTITUTE(SUBSTITUTE(SUBSTITUTE(SUBSTITUTE(SUBSTITUTE(SUBSTITUTE(D50,"亚庇","Kota Kinabalu"),"公寓","Kondominium"),"排屋","Rumah Teres"),"别墅","Vila"),"店铺","Kedai"),"新山","Johor Bahru"),"市中心","Pusat Bandar"),"高级","Premium"),"单位","Unit"),"住宅","Kediaman"),"")</f>
        <v/>
      </c>
      <c r="R50" s="31" t="str">
        <f aca="false">IF(D50&lt;&gt;"","📍 "&amp;IF(E50&lt;&gt;"",E50&amp;"房","")&amp;IF(F50&lt;&gt;"",F50&amp;"卫 ","")&amp;IF(G50&lt;&gt;"",G50&amp;" sqft","")&amp;IF(AND(OR(E50&lt;&gt;"",G50&lt;&gt;""),H50&lt;&gt;"")," · ","")&amp;IF(H50&lt;&gt;"",H50,""),"")</f>
        <v/>
      </c>
      <c r="S50" s="31" t="str">
        <f aca="false">IF(D50&lt;&gt;"","📍 "&amp;IF(E50&lt;&gt;"",E50&amp;"BR ","")&amp;IF(F50&lt;&gt;"",F50&amp;"BA ","")&amp;IF(G50&lt;&gt;"",G50&amp;" sqft","")&amp;IF(AND(OR(E50&lt;&gt;"",G50&lt;&gt;""),H50&lt;&gt;"")," · ","")&amp;IF(H50&lt;&gt;"",SUBSTITUTE(SUBSTITUTE(SUBSTITUTE(SUBSTITUTE(SUBSTITUTE(SUBSTITUTE(SUBSTITUTE(SUBSTITUTE(SUBSTITUTE(SUBSTITUTE(H50,"游泳池","Swimming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0" s="31" t="str">
        <f aca="false">IF(D50&lt;&gt;"","📍 "&amp;IF(E50&lt;&gt;"",E50&amp;"Bilik ","")&amp;IF(F50&lt;&gt;"",F50&amp;"Bilik Air ","")&amp;IF(G50&lt;&gt;"",G50&amp;" sqft","")&amp;IF(AND(OR(E50&lt;&gt;"",G50&lt;&gt;""),H50&lt;&gt;"")," · ","")&amp;IF(H50&lt;&gt;"",SUBSTITUTE(SUBSTITUTE(SUBSTITUTE(SUBSTITUTE(SUBSTITUTE(SUBSTITUTE(SUBSTITUTE(SUBSTITUTE(SUBSTITUTE(SUBSTITUTE(H50,"游泳池","Kolam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0" s="32" t="str">
        <f aca="false">IF(OR(I50&lt;&gt;"",J50&lt;&gt;"",K50&lt;&gt;""),"🔒 "&amp;IF(I50&lt;&gt;"",I50,"")&amp;IF(AND(I50&lt;&gt;"",J50&lt;&gt;"")," · ","")&amp;IF(J50&lt;&gt;"",J50,"")&amp;IF(AND(OR(I50&lt;&gt;"",J50&lt;&gt;""),K50&lt;&gt;"")," · ","")&amp;IF(K50&lt;&gt;"",K50,""),"")</f>
        <v/>
      </c>
      <c r="V50" s="31" t="str">
        <f aca="false">IF(L50&lt;&gt;"","💰 售价 RM "&amp;TEXT(L50,"#,##0"),"")</f>
        <v/>
      </c>
      <c r="W50" s="31" t="str">
        <f aca="false">IF(L50&lt;&gt;"","💰 Selling Price RM "&amp;TEXT(L50,"#,##0"),"")</f>
        <v/>
      </c>
      <c r="X50" s="31" t="str">
        <f aca="false">IF(L50&lt;&gt;"","💰 Harga Jualan RM "&amp;TEXT(L50,"#,##0"),"")</f>
        <v/>
      </c>
      <c r="Y50" s="33" t="str">
        <f aca="false">IF(D50&lt;&gt;"","您好！我想咨询购买：
🏠 "&amp;D50&amp;"
"&amp;IF(E50&lt;&gt;"","🛏 "&amp;E50&amp;"房"&amp;IF(F50&lt;&gt;""," "&amp;F50&amp;"卫","")&amp;"
","")&amp;IF(G50&lt;&gt;"","📐 "&amp;G50&amp;" sqft
","")&amp;IF(H50&lt;&gt;"","🏊 "&amp;H50&amp;"
","")&amp;IF(U50&lt;&gt;"",U50&amp;"
","")&amp;IF(L50&lt;&gt;"","💰 售价 RM "&amp;TEXT(L50,"#,##0")&amp;"
","")&amp;"
请问还有空档吗？谢谢！","")</f>
        <v/>
      </c>
      <c r="Z50" s="33" t="str">
        <f aca="false">IF(D50&lt;&gt;"","Hi! I'd like to make a purchase enquiry:
🏠 "&amp;P50&amp;"
"&amp;IF(E50&lt;&gt;"","🛏 "&amp;E50&amp;"BR"&amp;IF(F50&lt;&gt;""," "&amp;F50&amp;"BA","")&amp;"
","")&amp;IF(G50&lt;&gt;"","📐 "&amp;G50&amp;" sqft
","")&amp;IF(H50&lt;&gt;"","🏊 "&amp;SUBSTITUTE(SUBSTITUTE(SUBSTITUTE(SUBSTITUTE(SUBSTITUTE(SUBSTITUTE(SUBSTITUTE(SUBSTITUTE(SUBSTITUTE(SUBSTITUTE(H50,"游泳池","Swimming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","")&amp;IF(L50&lt;&gt;"","💰 Selling Price RM "&amp;TEXT(L50,"#,##0")&amp;"
","")&amp;"
Is this still available? Thank you!","")</f>
        <v/>
      </c>
      <c r="AA50" s="31"/>
      <c r="AB50" s="33" t="str">
        <f aca="false">IF(D50&lt;&gt;"","Helo! Saya ingin membuat pertanyaan pembelian:
🏠 "&amp;Q50&amp;"
"&amp;IF(E50&lt;&gt;"","🛏 "&amp;E50&amp;"Bilik"&amp;IF(F50&lt;&gt;""," "&amp;F50&amp;"Bilik Air","")&amp;"
","")&amp;IF(G50&lt;&gt;"","📐 "&amp;G50&amp;" sqft
","")&amp;IF(H50&lt;&gt;"","🏊 "&amp;SUBSTITUTE(SUBSTITUTE(SUBSTITUTE(SUBSTITUTE(SUBSTITUTE(SUBSTITUTE(SUBSTITUTE(SUBSTITUTE(SUBSTITUTE(SUBSTITUTE(H50,"游泳池","Kolam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","")&amp;IF(L50&lt;&gt;"","💰 Harga Jualan RM "&amp;TEXT(L50,"#,##0")&amp;"
","")&amp;"
Adakah masih tersedia? Terima kasih!","")</f>
        <v/>
      </c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9"/>
      <c r="J51" s="29"/>
      <c r="K51" s="29"/>
      <c r="L51" s="28"/>
      <c r="M51" s="30"/>
      <c r="N51" s="31" t="str">
        <f aca="false">IFERROR(ifs(B51="🏢 Condo 公寓","fa-building",B51="🏠 Apartment 单位","fa-home",B51="🌿 即租即住","fa-home",B51="🌿 近国际学校","fa-school",B51="📌 商业旺铺","fa-store",B51="🌟 海景豪宅","fa-water-ladder",B51="📈 投资优选","fa-chart-line",B51="🏞️ 花园住宅","fa-tree",B51="🌟 2026全新地标","fa-drafting-compass",B51="📈 海外投资优选","fa-globe",B51="🌆 核心地段","fa-city",B51="🔥 限时优惠","fa-fire",B51="✅ 永久产权","fa-certificate",B51="🏅 高回报","fa-medal",B51="🏖️ 度假胜地","fa-umbrella-beach",B51="🏫 学区优选","fa-graduation-cap",B51="🛣️ 交通便利","fa-road",B51="🔑 即买即住","fa-key"),"fa-home")</f>
        <v>fa-home</v>
      </c>
      <c r="O51" s="31" t="str">
        <f aca="false">IF(D51&lt;&gt;"",D51,"")</f>
        <v/>
      </c>
      <c r="P51" s="31" t="str">
        <f aca="false">IF(D51&lt;&gt;"",SUBSTITUTE(SUBSTITUTE(SUBSTITUTE(SUBSTITUTE(SUBSTITUTE(SUBSTITUTE(SUBSTITUTE(SUBSTITUTE(SUBSTITUTE(SUBSTITUTE(D51,"亚庇","Kota Kinabalu"),"公寓","Condo"),"排屋","Terrace"),"别墅","Villa"),"店铺","Shop"),"新山","Johor Bahru"),"市中心","City Centre"),"高级","Premium"),"单位","Unit"),"住宅","Residence"),"")</f>
        <v/>
      </c>
      <c r="Q51" s="31" t="str">
        <f aca="false">IF(D51&lt;&gt;"",SUBSTITUTE(SUBSTITUTE(SUBSTITUTE(SUBSTITUTE(SUBSTITUTE(SUBSTITUTE(SUBSTITUTE(SUBSTITUTE(SUBSTITUTE(SUBSTITUTE(D51,"亚庇","Kota Kinabalu"),"公寓","Kondominium"),"排屋","Rumah Teres"),"别墅","Vila"),"店铺","Kedai"),"新山","Johor Bahru"),"市中心","Pusat Bandar"),"高级","Premium"),"单位","Unit"),"住宅","Kediaman"),"")</f>
        <v/>
      </c>
      <c r="R51" s="31" t="str">
        <f aca="false">IF(D51&lt;&gt;"","📍 "&amp;IF(E51&lt;&gt;"",E51&amp;"房","")&amp;IF(F51&lt;&gt;"",F51&amp;"卫 ","")&amp;IF(G51&lt;&gt;"",G51&amp;" sqft","")&amp;IF(AND(OR(E51&lt;&gt;"",G51&lt;&gt;""),H51&lt;&gt;"")," · ","")&amp;IF(H51&lt;&gt;"",H51,""),"")</f>
        <v/>
      </c>
      <c r="S51" s="31" t="str">
        <f aca="false">IF(D51&lt;&gt;"","📍 "&amp;IF(E51&lt;&gt;"",E51&amp;"BR ","")&amp;IF(F51&lt;&gt;"",F51&amp;"BA ","")&amp;IF(G51&lt;&gt;"",G51&amp;" sqft","")&amp;IF(AND(OR(E51&lt;&gt;"",G51&lt;&gt;""),H51&lt;&gt;"")," · ","")&amp;IF(H51&lt;&gt;"",SUBSTITUTE(SUBSTITUTE(SUBSTITUTE(SUBSTITUTE(SUBSTITUTE(SUBSTITUTE(SUBSTITUTE(SUBSTITUTE(SUBSTITUTE(SUBSTITUTE(H51,"游泳池","Swimming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1" s="31" t="str">
        <f aca="false">IF(D51&lt;&gt;"","📍 "&amp;IF(E51&lt;&gt;"",E51&amp;"Bilik ","")&amp;IF(F51&lt;&gt;"",F51&amp;"Bilik Air ","")&amp;IF(G51&lt;&gt;"",G51&amp;" sqft","")&amp;IF(AND(OR(E51&lt;&gt;"",G51&lt;&gt;""),H51&lt;&gt;"")," · ","")&amp;IF(H51&lt;&gt;"",SUBSTITUTE(SUBSTITUTE(SUBSTITUTE(SUBSTITUTE(SUBSTITUTE(SUBSTITUTE(SUBSTITUTE(SUBSTITUTE(SUBSTITUTE(SUBSTITUTE(H51,"游泳池","Kolam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1" s="32" t="str">
        <f aca="false">IF(OR(I51&lt;&gt;"",J51&lt;&gt;"",K51&lt;&gt;""),"🔒 "&amp;IF(I51&lt;&gt;"",I51,"")&amp;IF(AND(I51&lt;&gt;"",J51&lt;&gt;"")," · ","")&amp;IF(J51&lt;&gt;"",J51,"")&amp;IF(AND(OR(I51&lt;&gt;"",J51&lt;&gt;""),K51&lt;&gt;"")," · ","")&amp;IF(K51&lt;&gt;"",K51,""),"")</f>
        <v/>
      </c>
      <c r="V51" s="31" t="str">
        <f aca="false">IF(L51&lt;&gt;"","💰 售价 RM "&amp;TEXT(L51,"#,##0"),"")</f>
        <v/>
      </c>
      <c r="W51" s="31" t="str">
        <f aca="false">IF(L51&lt;&gt;"","💰 Selling Price RM "&amp;TEXT(L51,"#,##0"),"")</f>
        <v/>
      </c>
      <c r="X51" s="31" t="str">
        <f aca="false">IF(L51&lt;&gt;"","💰 Harga Jualan RM "&amp;TEXT(L51,"#,##0"),"")</f>
        <v/>
      </c>
      <c r="Y51" s="33" t="str">
        <f aca="false">IF(D51&lt;&gt;"","您好！我想咨询购买：
🏠 "&amp;D51&amp;"
"&amp;IF(E51&lt;&gt;"","🛏 "&amp;E51&amp;"房"&amp;IF(F51&lt;&gt;""," "&amp;F51&amp;"卫","")&amp;"
","")&amp;IF(G51&lt;&gt;"","📐 "&amp;G51&amp;" sqft
","")&amp;IF(H51&lt;&gt;"","🏊 "&amp;H51&amp;"
","")&amp;IF(U51&lt;&gt;"",U51&amp;"
","")&amp;IF(L51&lt;&gt;"","💰 售价 RM "&amp;TEXT(L51,"#,##0")&amp;"
","")&amp;"
请问还有空档吗？谢谢！","")</f>
        <v/>
      </c>
      <c r="Z51" s="33" t="str">
        <f aca="false">IF(D51&lt;&gt;"","Hi! I'd like to make a purchase enquiry:
🏠 "&amp;P51&amp;"
"&amp;IF(E51&lt;&gt;"","🛏 "&amp;E51&amp;"BR"&amp;IF(F51&lt;&gt;""," "&amp;F51&amp;"BA","")&amp;"
","")&amp;IF(G51&lt;&gt;"","📐 "&amp;G51&amp;" sqft
","")&amp;IF(H51&lt;&gt;"","🏊 "&amp;SUBSTITUTE(SUBSTITUTE(SUBSTITUTE(SUBSTITUTE(SUBSTITUTE(SUBSTITUTE(SUBSTITUTE(SUBSTITUTE(SUBSTITUTE(SUBSTITUTE(H51,"游泳池","Swimming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","")&amp;IF(L51&lt;&gt;"","💰 Selling Price RM "&amp;TEXT(L51,"#,##0")&amp;"
","")&amp;"
Is this still available? Thank you!","")</f>
        <v/>
      </c>
      <c r="AA51" s="31"/>
      <c r="AB51" s="33" t="str">
        <f aca="false">IF(D51&lt;&gt;"","Helo! Saya ingin membuat pertanyaan pembelian:
🏠 "&amp;Q51&amp;"
"&amp;IF(E51&lt;&gt;"","🛏 "&amp;E51&amp;"Bilik"&amp;IF(F51&lt;&gt;""," "&amp;F51&amp;"Bilik Air","")&amp;"
","")&amp;IF(G51&lt;&gt;"","📐 "&amp;G51&amp;" sqft
","")&amp;IF(H51&lt;&gt;"","🏊 "&amp;SUBSTITUTE(SUBSTITUTE(SUBSTITUTE(SUBSTITUTE(SUBSTITUTE(SUBSTITUTE(SUBSTITUTE(SUBSTITUTE(SUBSTITUTE(SUBSTITUTE(H51,"游泳池","Kolam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","")&amp;IF(L51&lt;&gt;"","💰 Harga Jualan RM "&amp;TEXT(L51,"#,##0")&amp;"
","")&amp;"
Adakah masih tersedia? Terima kasih!","")</f>
        <v/>
      </c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9"/>
      <c r="J52" s="29"/>
      <c r="K52" s="29"/>
      <c r="L52" s="28"/>
      <c r="M52" s="30"/>
      <c r="N52" s="31" t="str">
        <f aca="false">IFERROR(ifs(B52="🏢 Condo 公寓","fa-building",B52="🏠 Apartment 单位","fa-home",B52="🌿 即租即住","fa-home",B52="🌿 近国际学校","fa-school",B52="📌 商业旺铺","fa-store",B52="🌟 海景豪宅","fa-water-ladder",B52="📈 投资优选","fa-chart-line",B52="🏞️ 花园住宅","fa-tree",B52="🌟 2026全新地标","fa-drafting-compass",B52="📈 海外投资优选","fa-globe",B52="🌆 核心地段","fa-city",B52="🔥 限时优惠","fa-fire",B52="✅ 永久产权","fa-certificate",B52="🏅 高回报","fa-medal",B52="🏖️ 度假胜地","fa-umbrella-beach",B52="🏫 学区优选","fa-graduation-cap",B52="🛣️ 交通便利","fa-road",B52="🔑 即买即住","fa-key"),"fa-home")</f>
        <v>fa-home</v>
      </c>
      <c r="O52" s="31" t="str">
        <f aca="false">IF(D52&lt;&gt;"",D52,"")</f>
        <v/>
      </c>
      <c r="P52" s="31" t="str">
        <f aca="false">IF(D52&lt;&gt;"",SUBSTITUTE(SUBSTITUTE(SUBSTITUTE(SUBSTITUTE(SUBSTITUTE(SUBSTITUTE(SUBSTITUTE(SUBSTITUTE(SUBSTITUTE(SUBSTITUTE(D52,"亚庇","Kota Kinabalu"),"公寓","Condo"),"排屋","Terrace"),"别墅","Villa"),"店铺","Shop"),"新山","Johor Bahru"),"市中心","City Centre"),"高级","Premium"),"单位","Unit"),"住宅","Residence"),"")</f>
        <v/>
      </c>
      <c r="Q52" s="31" t="str">
        <f aca="false">IF(D52&lt;&gt;"",SUBSTITUTE(SUBSTITUTE(SUBSTITUTE(SUBSTITUTE(SUBSTITUTE(SUBSTITUTE(SUBSTITUTE(SUBSTITUTE(SUBSTITUTE(SUBSTITUTE(D52,"亚庇","Kota Kinabalu"),"公寓","Kondominium"),"排屋","Rumah Teres"),"别墅","Vila"),"店铺","Kedai"),"新山","Johor Bahru"),"市中心","Pusat Bandar"),"高级","Premium"),"单位","Unit"),"住宅","Kediaman"),"")</f>
        <v/>
      </c>
      <c r="R52" s="31" t="str">
        <f aca="false">IF(D52&lt;&gt;"","📍 "&amp;IF(E52&lt;&gt;"",E52&amp;"房","")&amp;IF(F52&lt;&gt;"",F52&amp;"卫 ","")&amp;IF(G52&lt;&gt;"",G52&amp;" sqft","")&amp;IF(AND(OR(E52&lt;&gt;"",G52&lt;&gt;""),H52&lt;&gt;"")," · ","")&amp;IF(H52&lt;&gt;"",H52,""),"")</f>
        <v/>
      </c>
      <c r="S52" s="31" t="str">
        <f aca="false">IF(D52&lt;&gt;"","📍 "&amp;IF(E52&lt;&gt;"",E52&amp;"BR ","")&amp;IF(F52&lt;&gt;"",F52&amp;"BA ","")&amp;IF(G52&lt;&gt;"",G52&amp;" sqft","")&amp;IF(AND(OR(E52&lt;&gt;"",G52&lt;&gt;""),H52&lt;&gt;"")," · ","")&amp;IF(H52&lt;&gt;"",SUBSTITUTE(SUBSTITUTE(SUBSTITUTE(SUBSTITUTE(SUBSTITUTE(SUBSTITUTE(SUBSTITUTE(SUBSTITUTE(SUBSTITUTE(SUBSTITUTE(H52,"游泳池","Swimming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2" s="31" t="str">
        <f aca="false">IF(D52&lt;&gt;"","📍 "&amp;IF(E52&lt;&gt;"",E52&amp;"Bilik ","")&amp;IF(F52&lt;&gt;"",F52&amp;"Bilik Air ","")&amp;IF(G52&lt;&gt;"",G52&amp;" sqft","")&amp;IF(AND(OR(E52&lt;&gt;"",G52&lt;&gt;""),H52&lt;&gt;"")," · ","")&amp;IF(H52&lt;&gt;"",SUBSTITUTE(SUBSTITUTE(SUBSTITUTE(SUBSTITUTE(SUBSTITUTE(SUBSTITUTE(SUBSTITUTE(SUBSTITUTE(SUBSTITUTE(SUBSTITUTE(H52,"游泳池","Kolam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2" s="32" t="str">
        <f aca="false">IF(OR(I52&lt;&gt;"",J52&lt;&gt;"",K52&lt;&gt;""),"🔒 "&amp;IF(I52&lt;&gt;"",I52,"")&amp;IF(AND(I52&lt;&gt;"",J52&lt;&gt;"")," · ","")&amp;IF(J52&lt;&gt;"",J52,"")&amp;IF(AND(OR(I52&lt;&gt;"",J52&lt;&gt;""),K52&lt;&gt;"")," · ","")&amp;IF(K52&lt;&gt;"",K52,""),"")</f>
        <v/>
      </c>
      <c r="V52" s="31" t="str">
        <f aca="false">IF(L52&lt;&gt;"","💰 售价 RM "&amp;TEXT(L52,"#,##0"),"")</f>
        <v/>
      </c>
      <c r="W52" s="31" t="str">
        <f aca="false">IF(L52&lt;&gt;"","💰 Selling Price RM "&amp;TEXT(L52,"#,##0"),"")</f>
        <v/>
      </c>
      <c r="X52" s="31" t="str">
        <f aca="false">IF(L52&lt;&gt;"","💰 Harga Jualan RM "&amp;TEXT(L52,"#,##0"),"")</f>
        <v/>
      </c>
      <c r="Y52" s="33" t="str">
        <f aca="false">IF(D52&lt;&gt;"","您好！我想咨询购买：
🏠 "&amp;D52&amp;"
"&amp;IF(E52&lt;&gt;"","🛏 "&amp;E52&amp;"房"&amp;IF(F52&lt;&gt;""," "&amp;F52&amp;"卫","")&amp;"
","")&amp;IF(G52&lt;&gt;"","📐 "&amp;G52&amp;" sqft
","")&amp;IF(H52&lt;&gt;"","🏊 "&amp;H52&amp;"
","")&amp;IF(U52&lt;&gt;"",U52&amp;"
","")&amp;IF(L52&lt;&gt;"","💰 售价 RM "&amp;TEXT(L52,"#,##0")&amp;"
","")&amp;"
请问还有空档吗？谢谢！","")</f>
        <v/>
      </c>
      <c r="Z52" s="33" t="str">
        <f aca="false">IF(D52&lt;&gt;"","Hi! I'd like to make a purchase enquiry:
🏠 "&amp;P52&amp;"
"&amp;IF(E52&lt;&gt;"","🛏 "&amp;E52&amp;"BR"&amp;IF(F52&lt;&gt;""," "&amp;F52&amp;"BA","")&amp;"
","")&amp;IF(G52&lt;&gt;"","📐 "&amp;G52&amp;" sqft
","")&amp;IF(H52&lt;&gt;"","🏊 "&amp;SUBSTITUTE(SUBSTITUTE(SUBSTITUTE(SUBSTITUTE(SUBSTITUTE(SUBSTITUTE(SUBSTITUTE(SUBSTITUTE(SUBSTITUTE(SUBSTITUTE(H52,"游泳池","Swimming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","")&amp;IF(L52&lt;&gt;"","💰 Selling Price RM "&amp;TEXT(L52,"#,##0")&amp;"
","")&amp;"
Is this still available? Thank you!","")</f>
        <v/>
      </c>
      <c r="AA52" s="31"/>
      <c r="AB52" s="33" t="str">
        <f aca="false">IF(D52&lt;&gt;"","Helo! Saya ingin membuat pertanyaan pembelian:
🏠 "&amp;Q52&amp;"
"&amp;IF(E52&lt;&gt;"","🛏 "&amp;E52&amp;"Bilik"&amp;IF(F52&lt;&gt;""," "&amp;F52&amp;"Bilik Air","")&amp;"
","")&amp;IF(G52&lt;&gt;"","📐 "&amp;G52&amp;" sqft
","")&amp;IF(H52&lt;&gt;"","🏊 "&amp;SUBSTITUTE(SUBSTITUTE(SUBSTITUTE(SUBSTITUTE(SUBSTITUTE(SUBSTITUTE(SUBSTITUTE(SUBSTITUTE(SUBSTITUTE(SUBSTITUTE(H52,"游泳池","Kolam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","")&amp;IF(L52&lt;&gt;"","💰 Harga Jualan RM "&amp;TEXT(L52,"#,##0")&amp;"
","")&amp;"
Adakah masih tersedia? Terima kasih!","")</f>
        <v/>
      </c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9"/>
      <c r="J53" s="29"/>
      <c r="K53" s="29"/>
      <c r="L53" s="28"/>
      <c r="M53" s="30"/>
      <c r="N53" s="31" t="str">
        <f aca="false">IFERROR(ifs(B53="🏢 Condo 公寓","fa-building",B53="🏠 Apartment 单位","fa-home",B53="🌿 即租即住","fa-home",B53="🌿 近国际学校","fa-school",B53="📌 商业旺铺","fa-store",B53="🌟 海景豪宅","fa-water-ladder",B53="📈 投资优选","fa-chart-line",B53="🏞️ 花园住宅","fa-tree",B53="🌟 2026全新地标","fa-drafting-compass",B53="📈 海外投资优选","fa-globe",B53="🌆 核心地段","fa-city",B53="🔥 限时优惠","fa-fire",B53="✅ 永久产权","fa-certificate",B53="🏅 高回报","fa-medal",B53="🏖️ 度假胜地","fa-umbrella-beach",B53="🏫 学区优选","fa-graduation-cap",B53="🛣️ 交通便利","fa-road",B53="🔑 即买即住","fa-key"),"fa-home")</f>
        <v>fa-home</v>
      </c>
      <c r="O53" s="31" t="str">
        <f aca="false">IF(D53&lt;&gt;"",D53,"")</f>
        <v/>
      </c>
      <c r="P53" s="31" t="str">
        <f aca="false">IF(D53&lt;&gt;"",SUBSTITUTE(SUBSTITUTE(SUBSTITUTE(SUBSTITUTE(SUBSTITUTE(SUBSTITUTE(SUBSTITUTE(SUBSTITUTE(SUBSTITUTE(SUBSTITUTE(D53,"亚庇","Kota Kinabalu"),"公寓","Condo"),"排屋","Terrace"),"别墅","Villa"),"店铺","Shop"),"新山","Johor Bahru"),"市中心","City Centre"),"高级","Premium"),"单位","Unit"),"住宅","Residence"),"")</f>
        <v/>
      </c>
      <c r="Q53" s="31" t="str">
        <f aca="false">IF(D53&lt;&gt;"",SUBSTITUTE(SUBSTITUTE(SUBSTITUTE(SUBSTITUTE(SUBSTITUTE(SUBSTITUTE(SUBSTITUTE(SUBSTITUTE(SUBSTITUTE(SUBSTITUTE(D53,"亚庇","Kota Kinabalu"),"公寓","Kondominium"),"排屋","Rumah Teres"),"别墅","Vila"),"店铺","Kedai"),"新山","Johor Bahru"),"市中心","Pusat Bandar"),"高级","Premium"),"单位","Unit"),"住宅","Kediaman"),"")</f>
        <v/>
      </c>
      <c r="R53" s="31" t="str">
        <f aca="false">IF(D53&lt;&gt;"","📍 "&amp;IF(E53&lt;&gt;"",E53&amp;"房","")&amp;IF(F53&lt;&gt;"",F53&amp;"卫 ","")&amp;IF(G53&lt;&gt;"",G53&amp;" sqft","")&amp;IF(AND(OR(E53&lt;&gt;"",G53&lt;&gt;""),H53&lt;&gt;"")," · ","")&amp;IF(H53&lt;&gt;"",H53,""),"")</f>
        <v/>
      </c>
      <c r="S53" s="31" t="str">
        <f aca="false">IF(D53&lt;&gt;"","📍 "&amp;IF(E53&lt;&gt;"",E53&amp;"BR ","")&amp;IF(F53&lt;&gt;"",F53&amp;"BA ","")&amp;IF(G53&lt;&gt;"",G53&amp;" sqft","")&amp;IF(AND(OR(E53&lt;&gt;"",G53&lt;&gt;""),H53&lt;&gt;"")," · ","")&amp;IF(H53&lt;&gt;"",SUBSTITUTE(SUBSTITUTE(SUBSTITUTE(SUBSTITUTE(SUBSTITUTE(SUBSTITUTE(SUBSTITUTE(SUBSTITUTE(SUBSTITUTE(SUBSTITUTE(H53,"游泳池","Swimming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3" s="31" t="str">
        <f aca="false">IF(D53&lt;&gt;"","📍 "&amp;IF(E53&lt;&gt;"",E53&amp;"Bilik ","")&amp;IF(F53&lt;&gt;"",F53&amp;"Bilik Air ","")&amp;IF(G53&lt;&gt;"",G53&amp;" sqft","")&amp;IF(AND(OR(E53&lt;&gt;"",G53&lt;&gt;""),H53&lt;&gt;"")," · ","")&amp;IF(H53&lt;&gt;"",SUBSTITUTE(SUBSTITUTE(SUBSTITUTE(SUBSTITUTE(SUBSTITUTE(SUBSTITUTE(SUBSTITUTE(SUBSTITUTE(SUBSTITUTE(SUBSTITUTE(H53,"游泳池","Kolam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3" s="32" t="str">
        <f aca="false">IF(OR(I53&lt;&gt;"",J53&lt;&gt;"",K53&lt;&gt;""),"🔒 "&amp;IF(I53&lt;&gt;"",I53,"")&amp;IF(AND(I53&lt;&gt;"",J53&lt;&gt;"")," · ","")&amp;IF(J53&lt;&gt;"",J53,"")&amp;IF(AND(OR(I53&lt;&gt;"",J53&lt;&gt;""),K53&lt;&gt;"")," · ","")&amp;IF(K53&lt;&gt;"",K53,""),"")</f>
        <v/>
      </c>
      <c r="V53" s="31" t="str">
        <f aca="false">IF(L53&lt;&gt;"","💰 售价 RM "&amp;TEXT(L53,"#,##0"),"")</f>
        <v/>
      </c>
      <c r="W53" s="31" t="str">
        <f aca="false">IF(L53&lt;&gt;"","💰 Selling Price RM "&amp;TEXT(L53,"#,##0"),"")</f>
        <v/>
      </c>
      <c r="X53" s="31" t="str">
        <f aca="false">IF(L53&lt;&gt;"","💰 Harga Jualan RM "&amp;TEXT(L53,"#,##0"),"")</f>
        <v/>
      </c>
      <c r="Y53" s="33" t="str">
        <f aca="false">IF(D53&lt;&gt;"","您好！我想咨询购买：
🏠 "&amp;D53&amp;"
"&amp;IF(E53&lt;&gt;"","🛏 "&amp;E53&amp;"房"&amp;IF(F53&lt;&gt;""," "&amp;F53&amp;"卫","")&amp;"
","")&amp;IF(G53&lt;&gt;"","📐 "&amp;G53&amp;" sqft
","")&amp;IF(H53&lt;&gt;"","🏊 "&amp;H53&amp;"
","")&amp;IF(U53&lt;&gt;"",U53&amp;"
","")&amp;IF(L53&lt;&gt;"","💰 售价 RM "&amp;TEXT(L53,"#,##0")&amp;"
","")&amp;"
请问还有空档吗？谢谢！","")</f>
        <v/>
      </c>
      <c r="Z53" s="33" t="str">
        <f aca="false">IF(D53&lt;&gt;"","Hi! I'd like to make a purchase enquiry:
🏠 "&amp;P53&amp;"
"&amp;IF(E53&lt;&gt;"","🛏 "&amp;E53&amp;"BR"&amp;IF(F53&lt;&gt;""," "&amp;F53&amp;"BA","")&amp;"
","")&amp;IF(G53&lt;&gt;"","📐 "&amp;G53&amp;" sqft
","")&amp;IF(H53&lt;&gt;"","🏊 "&amp;SUBSTITUTE(SUBSTITUTE(SUBSTITUTE(SUBSTITUTE(SUBSTITUTE(SUBSTITUTE(SUBSTITUTE(SUBSTITUTE(SUBSTITUTE(SUBSTITUTE(H53,"游泳池","Swimming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","")&amp;IF(L53&lt;&gt;"","💰 Selling Price RM "&amp;TEXT(L53,"#,##0")&amp;"
","")&amp;"
Is this still available? Thank you!","")</f>
        <v/>
      </c>
      <c r="AA53" s="31"/>
      <c r="AB53" s="33" t="str">
        <f aca="false">IF(D53&lt;&gt;"","Helo! Saya ingin membuat pertanyaan pembelian:
🏠 "&amp;Q53&amp;"
"&amp;IF(E53&lt;&gt;"","🛏 "&amp;E53&amp;"Bilik"&amp;IF(F53&lt;&gt;""," "&amp;F53&amp;"Bilik Air","")&amp;"
","")&amp;IF(G53&lt;&gt;"","📐 "&amp;G53&amp;" sqft
","")&amp;IF(H53&lt;&gt;"","🏊 "&amp;SUBSTITUTE(SUBSTITUTE(SUBSTITUTE(SUBSTITUTE(SUBSTITUTE(SUBSTITUTE(SUBSTITUTE(SUBSTITUTE(SUBSTITUTE(SUBSTITUTE(H53,"游泳池","Kolam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","")&amp;IF(L53&lt;&gt;"","💰 Harga Jualan RM "&amp;TEXT(L53,"#,##0")&amp;"
","")&amp;"
Adakah masih tersedia? Terima kasih!","")</f>
        <v/>
      </c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9"/>
      <c r="J54" s="29"/>
      <c r="K54" s="29"/>
      <c r="L54" s="28"/>
      <c r="M54" s="30"/>
      <c r="N54" s="31" t="str">
        <f aca="false">IFERROR(ifs(B54="🏢 Condo 公寓","fa-building",B54="🏠 Apartment 单位","fa-home",B54="🌿 即租即住","fa-home",B54="🌿 近国际学校","fa-school",B54="📌 商业旺铺","fa-store",B54="🌟 海景豪宅","fa-water-ladder",B54="📈 投资优选","fa-chart-line",B54="🏞️ 花园住宅","fa-tree",B54="🌟 2026全新地标","fa-drafting-compass",B54="📈 海外投资优选","fa-globe",B54="🌆 核心地段","fa-city",B54="🔥 限时优惠","fa-fire",B54="✅ 永久产权","fa-certificate",B54="🏅 高回报","fa-medal",B54="🏖️ 度假胜地","fa-umbrella-beach",B54="🏫 学区优选","fa-graduation-cap",B54="🛣️ 交通便利","fa-road",B54="🔑 即买即住","fa-key"),"fa-home")</f>
        <v>fa-home</v>
      </c>
      <c r="O54" s="31" t="str">
        <f aca="false">IF(D54&lt;&gt;"",D54,"")</f>
        <v/>
      </c>
      <c r="P54" s="31" t="str">
        <f aca="false">IF(D54&lt;&gt;"",SUBSTITUTE(SUBSTITUTE(SUBSTITUTE(SUBSTITUTE(SUBSTITUTE(SUBSTITUTE(SUBSTITUTE(SUBSTITUTE(SUBSTITUTE(SUBSTITUTE(D54,"亚庇","Kota Kinabalu"),"公寓","Condo"),"排屋","Terrace"),"别墅","Villa"),"店铺","Shop"),"新山","Johor Bahru"),"市中心","City Centre"),"高级","Premium"),"单位","Unit"),"住宅","Residence"),"")</f>
        <v/>
      </c>
      <c r="Q54" s="31" t="str">
        <f aca="false">IF(D54&lt;&gt;"",SUBSTITUTE(SUBSTITUTE(SUBSTITUTE(SUBSTITUTE(SUBSTITUTE(SUBSTITUTE(SUBSTITUTE(SUBSTITUTE(SUBSTITUTE(SUBSTITUTE(D54,"亚庇","Kota Kinabalu"),"公寓","Kondominium"),"排屋","Rumah Teres"),"别墅","Vila"),"店铺","Kedai"),"新山","Johor Bahru"),"市中心","Pusat Bandar"),"高级","Premium"),"单位","Unit"),"住宅","Kediaman"),"")</f>
        <v/>
      </c>
      <c r="R54" s="31" t="str">
        <f aca="false">IF(D54&lt;&gt;"","📍 "&amp;IF(E54&lt;&gt;"",E54&amp;"房","")&amp;IF(F54&lt;&gt;"",F54&amp;"卫 ","")&amp;IF(G54&lt;&gt;"",G54&amp;" sqft","")&amp;IF(AND(OR(E54&lt;&gt;"",G54&lt;&gt;""),H54&lt;&gt;"")," · ","")&amp;IF(H54&lt;&gt;"",H54,""),"")</f>
        <v/>
      </c>
      <c r="S54" s="31" t="str">
        <f aca="false">IF(D54&lt;&gt;"","📍 "&amp;IF(E54&lt;&gt;"",E54&amp;"BR ","")&amp;IF(F54&lt;&gt;"",F54&amp;"BA ","")&amp;IF(G54&lt;&gt;"",G54&amp;" sqft","")&amp;IF(AND(OR(E54&lt;&gt;"",G54&lt;&gt;""),H54&lt;&gt;"")," · ","")&amp;IF(H54&lt;&gt;"",SUBSTITUTE(SUBSTITUTE(SUBSTITUTE(SUBSTITUTE(SUBSTITUTE(SUBSTITUTE(SUBSTITUTE(SUBSTITUTE(SUBSTITUTE(SUBSTITUTE(H54,"游泳池","Swimming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4" s="31" t="str">
        <f aca="false">IF(D54&lt;&gt;"","📍 "&amp;IF(E54&lt;&gt;"",E54&amp;"Bilik ","")&amp;IF(F54&lt;&gt;"",F54&amp;"Bilik Air ","")&amp;IF(G54&lt;&gt;"",G54&amp;" sqft","")&amp;IF(AND(OR(E54&lt;&gt;"",G54&lt;&gt;""),H54&lt;&gt;"")," · ","")&amp;IF(H54&lt;&gt;"",SUBSTITUTE(SUBSTITUTE(SUBSTITUTE(SUBSTITUTE(SUBSTITUTE(SUBSTITUTE(SUBSTITUTE(SUBSTITUTE(SUBSTITUTE(SUBSTITUTE(H54,"游泳池","Kolam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4" s="32" t="str">
        <f aca="false">IF(OR(I54&lt;&gt;"",J54&lt;&gt;"",K54&lt;&gt;""),"🔒 "&amp;IF(I54&lt;&gt;"",I54,"")&amp;IF(AND(I54&lt;&gt;"",J54&lt;&gt;"")," · ","")&amp;IF(J54&lt;&gt;"",J54,"")&amp;IF(AND(OR(I54&lt;&gt;"",J54&lt;&gt;""),K54&lt;&gt;"")," · ","")&amp;IF(K54&lt;&gt;"",K54,""),"")</f>
        <v/>
      </c>
      <c r="V54" s="31" t="str">
        <f aca="false">IF(L54&lt;&gt;"","💰 售价 RM "&amp;TEXT(L54,"#,##0"),"")</f>
        <v/>
      </c>
      <c r="W54" s="31" t="str">
        <f aca="false">IF(L54&lt;&gt;"","💰 Selling Price RM "&amp;TEXT(L54,"#,##0"),"")</f>
        <v/>
      </c>
      <c r="X54" s="31" t="str">
        <f aca="false">IF(L54&lt;&gt;"","💰 Harga Jualan RM "&amp;TEXT(L54,"#,##0"),"")</f>
        <v/>
      </c>
      <c r="Y54" s="33" t="str">
        <f aca="false">IF(D54&lt;&gt;"","您好！我想咨询购买：
🏠 "&amp;D54&amp;"
"&amp;IF(E54&lt;&gt;"","🛏 "&amp;E54&amp;"房"&amp;IF(F54&lt;&gt;""," "&amp;F54&amp;"卫","")&amp;"
","")&amp;IF(G54&lt;&gt;"","📐 "&amp;G54&amp;" sqft
","")&amp;IF(H54&lt;&gt;"","🏊 "&amp;H54&amp;"
","")&amp;IF(U54&lt;&gt;"",U54&amp;"
","")&amp;IF(L54&lt;&gt;"","💰 售价 RM "&amp;TEXT(L54,"#,##0")&amp;"
","")&amp;"
请问还有空档吗？谢谢！","")</f>
        <v/>
      </c>
      <c r="Z54" s="33" t="str">
        <f aca="false">IF(D54&lt;&gt;"","Hi! I'd like to make a purchase enquiry:
🏠 "&amp;P54&amp;"
"&amp;IF(E54&lt;&gt;"","🛏 "&amp;E54&amp;"BR"&amp;IF(F54&lt;&gt;""," "&amp;F54&amp;"BA","")&amp;"
","")&amp;IF(G54&lt;&gt;"","📐 "&amp;G54&amp;" sqft
","")&amp;IF(H54&lt;&gt;"","🏊 "&amp;SUBSTITUTE(SUBSTITUTE(SUBSTITUTE(SUBSTITUTE(SUBSTITUTE(SUBSTITUTE(SUBSTITUTE(SUBSTITUTE(SUBSTITUTE(SUBSTITUTE(H54,"游泳池","Swimming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","")&amp;IF(L54&lt;&gt;"","💰 Selling Price RM "&amp;TEXT(L54,"#,##0")&amp;"
","")&amp;"
Is this still available? Thank you!","")</f>
        <v/>
      </c>
      <c r="AA54" s="31"/>
      <c r="AB54" s="33" t="str">
        <f aca="false">IF(D54&lt;&gt;"","Helo! Saya ingin membuat pertanyaan pembelian:
🏠 "&amp;Q54&amp;"
"&amp;IF(E54&lt;&gt;"","🛏 "&amp;E54&amp;"Bilik"&amp;IF(F54&lt;&gt;""," "&amp;F54&amp;"Bilik Air","")&amp;"
","")&amp;IF(G54&lt;&gt;"","📐 "&amp;G54&amp;" sqft
","")&amp;IF(H54&lt;&gt;"","🏊 "&amp;SUBSTITUTE(SUBSTITUTE(SUBSTITUTE(SUBSTITUTE(SUBSTITUTE(SUBSTITUTE(SUBSTITUTE(SUBSTITUTE(SUBSTITUTE(SUBSTITUTE(H54,"游泳池","Kolam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","")&amp;IF(L54&lt;&gt;"","💰 Harga Jualan RM "&amp;TEXT(L54,"#,##0")&amp;"
","")&amp;"
Adakah masih tersedia? Terima kasih!","")</f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2">
    <cfRule type="containsText" priority="2" operator="containsText" aboveAverage="0" equalAverage="0" bottom="0" percent="0" rank="0" text="inactive" dxfId="0">
      <formula>NOT(ISERROR(SEARCH("inactive",A5)))</formula>
    </cfRule>
  </conditionalFormatting>
  <dataValidations count="8">
    <dataValidation allowBlank="true" errorStyle="stop" operator="between" showDropDown="false" showErrorMessage="false" showInputMessage="false" sqref="A5:A54" type="list">
      <formula1>"active,inactive"</formula1>
      <formula2>0</formula2>
    </dataValidation>
    <dataValidation allowBlank="true" errorStyle="stop" operator="between" showDropDown="false" showErrorMessage="false" showInputMessage="false" sqref="B5:B54" type="list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  <formula2>0</formula2>
    </dataValidation>
    <dataValidation allowBlank="true" errorStyle="stop" operator="between" showDropDown="false" showErrorMessage="false" showInputMessage="false" sqref="F5:F54" type="list">
      <formula1>"1,2,3,4,5"</formula1>
      <formula2>0</formula2>
    </dataValidation>
    <dataValidation allowBlank="true" errorStyle="stop" operator="between" showDropDown="false" showErrorMessage="false" showInputMessage="false" sqref="E5:E54" type="list">
      <formula1>"Studio,1,2,3,4,5,6"</formula1>
      <formula2>0</formula2>
    </dataValidation>
    <dataValidation allowBlank="true" errorStyle="stop" operator="between" showDropDown="false" showErrorMessage="false" showInputMessage="false" sqref="I5:I54" type="list">
      <formula1>"24小时保安,保安亭,无保安"</formula1>
      <formula2>0</formula2>
    </dataValidation>
    <dataValidation allowBlank="true" errorStyle="stop" operator="between" showDropDown="false" showErrorMessage="false" showInputMessage="false" sqref="J5:J54" type="list">
      <formula1>"CCTV监控,无CCTV监控"</formula1>
      <formula2>0</formula2>
    </dataValidation>
    <dataValidation allowBlank="true" errorStyle="stop" operator="between" showDropDown="false" showErrorMessage="false" showInputMessage="false" sqref="K5:K54" type="list">
      <formula1>"等级1门禁,等级2门禁,等级3门禁,等级4门禁,等级5门禁,等级6门禁,无门禁"</formula1>
      <formula2>0</formula2>
    </dataValidation>
    <dataValidation allowBlank="true" errorStyle="stop" operator="between" showDropDown="false" showErrorMessage="false" showInputMessage="false" sqref="M5:M54" type="list">
      <formula1>"已出租 Rented,已售出 Sold,装修中 Renovating,议价空间 Negotiable,业主急售 Urgent,新上市 New Listing,独家代理 Exclusive,联系业主 Contact Owner,看房需预约 By Appt,短租可议 Short Stay"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6209"/>
    <pageSetUpPr fitToPage="false"/>
  </sheetPr>
  <dimension ref="A1:A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7" min="5" style="1" width="10"/>
    <col collapsed="false" customWidth="true" hidden="false" outlineLevel="0" max="8" min="8" style="1" width="22"/>
    <col collapsed="false" customWidth="true" hidden="false" outlineLevel="0" max="11" min="9" style="1" width="14"/>
    <col collapsed="false" customWidth="true" hidden="false" outlineLevel="0" max="14" min="12" style="1" width="12"/>
    <col collapsed="false" customWidth="true" hidden="false" outlineLevel="0" max="17" min="15" style="1" width="24"/>
    <col collapsed="false" customWidth="true" hidden="false" outlineLevel="0" max="21" min="18" style="1" width="30"/>
    <col collapsed="false" customWidth="true" hidden="false" outlineLevel="0" max="24" min="22" style="1" width="20"/>
    <col collapsed="false" customWidth="true" hidden="false" outlineLevel="0" max="26" min="25" style="1" width="30"/>
    <col collapsed="false" customWidth="true" hidden="false" outlineLevel="0" max="27" min="27" style="1" width="5"/>
    <col collapsed="false" customWidth="true" hidden="false" outlineLevel="0" max="28" min="28" style="1" width="30"/>
  </cols>
  <sheetData>
    <row r="1" customFormat="false" ht="31.5" hidden="false" customHeight="true" outlineLevel="0" collapsed="false">
      <c r="A1" s="16" t="s">
        <v>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7"/>
      <c r="T1" s="17"/>
      <c r="U1" s="17"/>
      <c r="V1" s="17"/>
      <c r="W1" s="17"/>
      <c r="X1" s="17"/>
    </row>
    <row r="2" customFormat="false" ht="21.75" hidden="false" customHeight="true" outlineLevel="0" collapsed="false">
      <c r="A2" s="18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customFormat="false" ht="36" hidden="false" customHeight="true" outlineLevel="0" collapsed="false">
      <c r="A3" s="19" t="s">
        <v>47</v>
      </c>
      <c r="B3" s="19" t="s">
        <v>48</v>
      </c>
      <c r="C3" s="19" t="s">
        <v>49</v>
      </c>
      <c r="D3" s="19" t="s">
        <v>50</v>
      </c>
      <c r="E3" s="19" t="s">
        <v>51</v>
      </c>
      <c r="F3" s="19" t="s">
        <v>52</v>
      </c>
      <c r="G3" s="19" t="s">
        <v>53</v>
      </c>
      <c r="H3" s="19" t="s">
        <v>54</v>
      </c>
      <c r="I3" s="20" t="s">
        <v>55</v>
      </c>
      <c r="J3" s="21" t="s">
        <v>56</v>
      </c>
      <c r="K3" s="20" t="s">
        <v>57</v>
      </c>
      <c r="L3" s="19" t="s">
        <v>58</v>
      </c>
      <c r="M3" s="22" t="s">
        <v>59</v>
      </c>
      <c r="N3" s="23" t="s">
        <v>60</v>
      </c>
      <c r="O3" s="24" t="s">
        <v>61</v>
      </c>
      <c r="P3" s="23" t="s">
        <v>62</v>
      </c>
      <c r="Q3" s="23" t="s">
        <v>63</v>
      </c>
      <c r="R3" s="24" t="s">
        <v>64</v>
      </c>
      <c r="S3" s="23" t="s">
        <v>65</v>
      </c>
      <c r="T3" s="23" t="s">
        <v>66</v>
      </c>
      <c r="U3" s="24" t="s">
        <v>67</v>
      </c>
      <c r="V3" s="24" t="s">
        <v>68</v>
      </c>
      <c r="W3" s="23" t="s">
        <v>69</v>
      </c>
      <c r="X3" s="23" t="s">
        <v>70</v>
      </c>
      <c r="Y3" s="25" t="s">
        <v>71</v>
      </c>
      <c r="Z3" s="25" t="s">
        <v>72</v>
      </c>
      <c r="AA3" s="23" t="s">
        <v>73</v>
      </c>
      <c r="AB3" s="25" t="s">
        <v>74</v>
      </c>
    </row>
    <row r="4" customFormat="false" ht="18" hidden="false" customHeight="true" outlineLevel="0" collapsed="false">
      <c r="A4" s="26" t="s">
        <v>75</v>
      </c>
      <c r="B4" s="26" t="s">
        <v>76</v>
      </c>
      <c r="C4" s="26" t="s">
        <v>77</v>
      </c>
      <c r="D4" s="27" t="s">
        <v>78</v>
      </c>
      <c r="E4" s="26" t="s">
        <v>79</v>
      </c>
      <c r="F4" s="26" t="s">
        <v>80</v>
      </c>
      <c r="G4" s="26" t="s">
        <v>81</v>
      </c>
      <c r="H4" s="27" t="s">
        <v>82</v>
      </c>
      <c r="I4" s="26" t="s">
        <v>83</v>
      </c>
      <c r="J4" s="26" t="s">
        <v>84</v>
      </c>
      <c r="K4" s="27" t="s">
        <v>85</v>
      </c>
      <c r="L4" s="26" t="s">
        <v>86</v>
      </c>
      <c r="M4" s="27" t="s">
        <v>87</v>
      </c>
    </row>
    <row r="5" customFormat="false" ht="51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9"/>
      <c r="J5" s="29"/>
      <c r="K5" s="29"/>
      <c r="L5" s="28"/>
      <c r="M5" s="30"/>
      <c r="N5" s="31" t="str">
        <f aca="false">IFERROR(ifs(B5="🏢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fa-home</v>
      </c>
      <c r="O5" s="31" t="str">
        <f aca="false">IF(D5&lt;&gt;"",D5,"")</f>
        <v/>
      </c>
      <c r="P5" s="31" t="str">
        <f aca="false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/>
      </c>
      <c r="Q5" s="31" t="str">
        <f aca="false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/>
      </c>
      <c r="R5" s="31" t="str">
        <f aca="false">IF(D5&lt;&gt;"","📍 "&amp;IF(E5&lt;&gt;"",E5&amp;"房","")&amp;IF(F5&lt;&gt;"",F5&amp;"卫 ","")&amp;IF(G5&lt;&gt;"",G5&amp;" sqft","")&amp;IF(AND(OR(E5&lt;&gt;"",G5&lt;&gt;""),H5&lt;&gt;"")," · ","")&amp;IF(H5&lt;&gt;"",H5,""),"")</f>
        <v/>
      </c>
      <c r="S5" s="31" t="str">
        <f aca="false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" s="31" t="str">
        <f aca="false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" s="32" t="str">
        <f aca="false">IF(OR(I5&lt;&gt;"",J5&lt;&gt;"",K5&lt;&gt;""),"🔒 "&amp;IF(I5&lt;&gt;"",I5,"")&amp;IF(AND(I5&lt;&gt;"",J5&lt;&gt;"")," · ","")&amp;IF(J5&lt;&gt;"",J5,"")&amp;IF(AND(OR(I5&lt;&gt;"",J5&lt;&gt;""),K5&lt;&gt;"")," · ","")&amp;IF(K5&lt;&gt;"",K5,""),"")</f>
        <v/>
      </c>
      <c r="V5" s="31" t="str">
        <f aca="false">IF(L5&lt;&gt;"","💰 起价 RM "&amp;TEXT(L5,"#,##0"),"")</f>
        <v/>
      </c>
      <c r="W5" s="31" t="str">
        <f aca="false">IF(L5&lt;&gt;"","💰 From RM "&amp;TEXT(L5,"#,##0"),"")</f>
        <v/>
      </c>
      <c r="X5" s="31" t="str">
        <f aca="false">IF(L5&lt;&gt;"","💰 Dari RM "&amp;TEXT(L5,"#,##0"),"")</f>
        <v/>
      </c>
      <c r="Y5" s="33" t="str">
        <f aca="false">IF(D5&lt;&gt;"","您好！我想咨询新楼盘：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起价 RM "&amp;TEXT(L5,"#,##0")&amp;"
","")&amp;"
请问还有空档吗？谢谢！","")</f>
        <v/>
      </c>
      <c r="Z5" s="33" t="str">
        <f aca="false">IF(D5&lt;&gt;"","Hi! I'd like to make a new launch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From RM "&amp;TEXT(L5,"#,##0")&amp;"
","")&amp;"
Is this still available? Thank you!","")</f>
        <v/>
      </c>
      <c r="AA5" s="31"/>
      <c r="AB5" s="33" t="str">
        <f aca="false">IF(D5&lt;&gt;"","Helo! Saya ingin membuat pertanyaan projek baru: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Dari RM "&amp;TEXT(L5,"#,##0")&amp;"
","")&amp;"
Adakah masih tersedia? Terima kasih!","")</f>
        <v/>
      </c>
    </row>
    <row r="6" customFormat="false" ht="51.75" hidden="false" customHeight="true" outlineLevel="0" collapsed="false">
      <c r="A6" s="28"/>
      <c r="B6" s="28"/>
      <c r="C6" s="28"/>
      <c r="D6" s="28"/>
      <c r="E6" s="28"/>
      <c r="F6" s="28"/>
      <c r="G6" s="28"/>
      <c r="H6" s="28"/>
      <c r="I6" s="29"/>
      <c r="J6" s="29"/>
      <c r="K6" s="29"/>
      <c r="L6" s="28"/>
      <c r="M6" s="30"/>
      <c r="N6" s="31" t="str">
        <f aca="false">IFERROR(ifs(B6="🏢 Condo 公寓","fa-building",B6="🏠 Apartment 单位","fa-home",B6="🌿 即租即住","fa-home",B6="🌿 近国际学校","fa-school",B6="📌 商业旺铺","fa-store",B6="🌟 海景豪宅","fa-water-ladder",B6="📈 投资优选","fa-chart-line",B6="🏞️ 花园住宅","fa-tree",B6="🌟 2026全新地标","fa-drafting-compass",B6="📈 海外投资优选","fa-globe",B6="🌆 核心地段","fa-city",B6="🔥 限时优惠","fa-fire",B6="✅ 永久产权","fa-certificate",B6="🏅 高回报","fa-medal",B6="🏖️ 度假胜地","fa-umbrella-beach",B6="🏫 学区优选","fa-graduation-cap",B6="🛣️ 交通便利","fa-road",B6="🔑 即买即住","fa-key"),"fa-home")</f>
        <v>fa-home</v>
      </c>
      <c r="O6" s="31" t="str">
        <f aca="false">IF(D6&lt;&gt;"",D6,"")</f>
        <v/>
      </c>
      <c r="P6" s="31" t="str">
        <f aca="false">IF(D6&lt;&gt;"",SUBSTITUTE(SUBSTITUTE(SUBSTITUTE(SUBSTITUTE(SUBSTITUTE(SUBSTITUTE(SUBSTITUTE(SUBSTITUTE(SUBSTITUTE(SUBSTITUTE(D6,"亚庇","Kota Kinabalu"),"公寓","Condo"),"排屋","Terrace"),"别墅","Villa"),"店铺","Shop"),"新山","Johor Bahru"),"市中心","City Centre"),"高级","Premium"),"单位","Unit"),"住宅","Residence"),"")</f>
        <v/>
      </c>
      <c r="Q6" s="31" t="str">
        <f aca="false">IF(D6&lt;&gt;"",SUBSTITUTE(SUBSTITUTE(SUBSTITUTE(SUBSTITUTE(SUBSTITUTE(SUBSTITUTE(SUBSTITUTE(SUBSTITUTE(SUBSTITUTE(SUBSTITUTE(D6,"亚庇","Kota Kinabalu"),"公寓","Kondominium"),"排屋","Rumah Teres"),"别墅","Vila"),"店铺","Kedai"),"新山","Johor Bahru"),"市中心","Pusat Bandar"),"高级","Premium"),"单位","Unit"),"住宅","Kediaman"),"")</f>
        <v/>
      </c>
      <c r="R6" s="31" t="str">
        <f aca="false">IF(D6&lt;&gt;"","📍 "&amp;IF(E6&lt;&gt;"",E6&amp;"房","")&amp;IF(F6&lt;&gt;"",F6&amp;"卫 ","")&amp;IF(G6&lt;&gt;"",G6&amp;" sqft","")&amp;IF(AND(OR(E6&lt;&gt;"",G6&lt;&gt;""),H6&lt;&gt;"")," · ","")&amp;IF(H6&lt;&gt;"",H6,""),"")</f>
        <v/>
      </c>
      <c r="S6" s="31" t="str">
        <f aca="false">IF(D6&lt;&gt;"","📍 "&amp;IF(E6&lt;&gt;"",E6&amp;"BR ","")&amp;IF(F6&lt;&gt;"",F6&amp;"BA ","")&amp;IF(G6&lt;&gt;"",G6&amp;" sqft","")&amp;IF(AND(OR(E6&lt;&gt;"",G6&lt;&gt;""),H6&lt;&gt;"")," · ","")&amp;IF(H6&lt;&gt;"",SUBSTITUTE(SUBSTITUTE(SUBSTITUTE(SUBSTITUTE(SUBSTITUTE(SUBSTITUTE(SUBSTITUTE(SUBSTITUTE(SUBSTITUTE(SUBSTITUTE(H6,"游泳池","Swimming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6" s="31" t="str">
        <f aca="false">IF(D6&lt;&gt;"","📍 "&amp;IF(E6&lt;&gt;"",E6&amp;"Bilik ","")&amp;IF(F6&lt;&gt;"",F6&amp;"Bilik Air ","")&amp;IF(G6&lt;&gt;"",G6&amp;" sqft","")&amp;IF(AND(OR(E6&lt;&gt;"",G6&lt;&gt;""),H6&lt;&gt;"")," · ","")&amp;IF(H6&lt;&gt;"",SUBSTITUTE(SUBSTITUTE(SUBSTITUTE(SUBSTITUTE(SUBSTITUTE(SUBSTITUTE(SUBSTITUTE(SUBSTITUTE(SUBSTITUTE(SUBSTITUTE(H6,"游泳池","Kolam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6" s="32" t="str">
        <f aca="false">IF(OR(I6&lt;&gt;"",J6&lt;&gt;"",K6&lt;&gt;""),"🔒 "&amp;IF(I6&lt;&gt;"",I6,"")&amp;IF(AND(I6&lt;&gt;"",J6&lt;&gt;"")," · ","")&amp;IF(J6&lt;&gt;"",J6,"")&amp;IF(AND(OR(I6&lt;&gt;"",J6&lt;&gt;""),K6&lt;&gt;"")," · ","")&amp;IF(K6&lt;&gt;"",K6,""),"")</f>
        <v/>
      </c>
      <c r="V6" s="31" t="str">
        <f aca="false">IF(L6&lt;&gt;"","💰 起价 RM "&amp;TEXT(L6,"#,##0"),"")</f>
        <v/>
      </c>
      <c r="W6" s="31" t="str">
        <f aca="false">IF(L6&lt;&gt;"","💰 From RM "&amp;TEXT(L6,"#,##0"),"")</f>
        <v/>
      </c>
      <c r="X6" s="31" t="str">
        <f aca="false">IF(L6&lt;&gt;"","💰 Dari RM "&amp;TEXT(L6,"#,##0"),"")</f>
        <v/>
      </c>
      <c r="Y6" s="33" t="str">
        <f aca="false">IF(D6&lt;&gt;"","您好！我想咨询新楼盘：
🏠 "&amp;D6&amp;"
"&amp;IF(E6&lt;&gt;"","🛏 "&amp;E6&amp;"房"&amp;IF(F6&lt;&gt;""," "&amp;F6&amp;"卫","")&amp;"
","")&amp;IF(G6&lt;&gt;"","📐 "&amp;G6&amp;" sqft
","")&amp;IF(H6&lt;&gt;"","🏊 "&amp;H6&amp;"
","")&amp;IF(U6&lt;&gt;"",U6&amp;"
","")&amp;IF(L6&lt;&gt;"","💰 起价 RM "&amp;TEXT(L6,"#,##0")&amp;"
","")&amp;"
请问还有空档吗？谢谢！","")</f>
        <v/>
      </c>
      <c r="Z6" s="33" t="str">
        <f aca="false">IF(D6&lt;&gt;"","Hi! I'd like to make a new launch enquiry:
🏠 "&amp;P6&amp;"
"&amp;IF(E6&lt;&gt;"","🛏 "&amp;E6&amp;"BR"&amp;IF(F6&lt;&gt;""," "&amp;F6&amp;"BA","")&amp;"
","")&amp;IF(G6&lt;&gt;"","📐 "&amp;G6&amp;" sqft
","")&amp;IF(H6&lt;&gt;"","🏊 "&amp;SUBSTITUTE(SUBSTITUTE(SUBSTITUTE(SUBSTITUTE(SUBSTITUTE(SUBSTITUTE(SUBSTITUTE(SUBSTITUTE(SUBSTITUTE(SUBSTITUTE(H6,"游泳池","Swimming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Control"),""),"")&lt;&gt;"",IF(OR(I6&lt;&gt;"",J6&lt;&gt;"",K6&lt;&gt;""),"🔒 "&amp;IF(I6&lt;&gt;"",SUBSTITUTE(SUBSTITUTE(SUBSTITUTE(SUBSTITUTE(SUBSTITUTE(SUBSTITUTE(SUBSTITUTE(SUBSTITUTE(SUBSTITUTE(SUBSTITUTE(SUBSTITUTE(SUBSTITUTE(I6,"24小时保安","24hr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Control"),"")&amp;IF(AND(I6&lt;&gt;"",OR(J6&lt;&gt;"",K6&lt;&gt;""))," · ","")&amp;IF(J6&lt;&gt;"",SUBSTITUTE(SUBSTITUTE(SUBSTITUTE(SUBSTITUTE(SUBSTITUTE(SUBSTITUTE(SUBSTITUTE(SUBSTITUTE(SUBSTITUTE(SUBSTITUTE(SUBSTITUTE(SUBSTITUTE(J6,"24小时保安","24hr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Control"),"")&amp;IF(AND(J6&lt;&gt;"",K6&lt;&gt;"")," · ","")&amp;IF(K6&lt;&gt;"",SUBSTITUTE(SUBSTITUTE(SUBSTITUTE(SUBSTITUTE(SUBSTITUTE(SUBSTITUTE(SUBSTITUTE(SUBSTITUTE(SUBSTITUTE(SUBSTITUTE(SUBSTITUTE(SUBSTITUTE(K6,"24小时保安","24hr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","")&amp;IF(L6&lt;&gt;"","💰 From RM "&amp;TEXT(L6,"#,##0")&amp;"
","")&amp;"
Is this still available? Thank you!","")</f>
        <v/>
      </c>
      <c r="AA6" s="31"/>
      <c r="AB6" s="33" t="str">
        <f aca="false">IF(D6&lt;&gt;"","Helo! Saya ingin membuat pertanyaan projek baru:
🏠 "&amp;Q6&amp;"
"&amp;IF(E6&lt;&gt;"","🛏 "&amp;E6&amp;"Bilik"&amp;IF(F6&lt;&gt;""," "&amp;F6&amp;"Bilik Air","")&amp;"
","")&amp;IF(G6&lt;&gt;"","📐 "&amp;G6&amp;" sqft
","")&amp;IF(H6&lt;&gt;"","🏊 "&amp;SUBSTITUTE(SUBSTITUTE(SUBSTITUTE(SUBSTITUTE(SUBSTITUTE(SUBSTITUTE(SUBSTITUTE(SUBSTITUTE(SUBSTITUTE(SUBSTITUTE(H6,"游泳池","Kolam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Kawalan"),""),"")&lt;&gt;"",IF(OR(I6&lt;&gt;"",J6&lt;&gt;"",K6&lt;&gt;""),"🔒 "&amp;IF(I6&lt;&gt;"",SUBSTITUTE(SUBSTITUTE(SUBSTITUTE(SUBSTITUTE(SUBSTITUTE(SUBSTITUTE(SUBSTITUTE(SUBSTITUTE(SUBSTITUTE(SUBSTITUTE(SUBSTITUTE(SUBSTITUTE(I6,"24小时保安","Pengawal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Kawalan"),"")&amp;IF(AND(I6&lt;&gt;"",OR(J6&lt;&gt;"",K6&lt;&gt;""))," · ","")&amp;IF(J6&lt;&gt;"",SUBSTITUTE(SUBSTITUTE(SUBSTITUTE(SUBSTITUTE(SUBSTITUTE(SUBSTITUTE(SUBSTITUTE(SUBSTITUTE(SUBSTITUTE(SUBSTITUTE(SUBSTITUTE(SUBSTITUTE(J6,"24小时保安","Pengawal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Kawalan"),"")&amp;IF(AND(J6&lt;&gt;"",K6&lt;&gt;"")," · ","")&amp;IF(K6&lt;&gt;"",SUBSTITUTE(SUBSTITUTE(SUBSTITUTE(SUBSTITUTE(SUBSTITUTE(SUBSTITUTE(SUBSTITUTE(SUBSTITUTE(SUBSTITUTE(SUBSTITUTE(SUBSTITUTE(SUBSTITUTE(K6,"24小时保安","Pengawal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","")&amp;IF(L6&lt;&gt;"","💰 Dari RM "&amp;TEXT(L6,"#,##0")&amp;"
","")&amp;"
Adakah masih tersedia? Terima kasih!","")</f>
        <v/>
      </c>
    </row>
    <row r="7" customFormat="false" ht="51.7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9"/>
      <c r="J7" s="29"/>
      <c r="K7" s="29"/>
      <c r="L7" s="28"/>
      <c r="M7" s="30"/>
      <c r="N7" s="31" t="str">
        <f aca="false">IFERROR(ifs(B7="🏢 Condo 公寓","fa-building",B7="🏠 Apartment 单位","fa-home",B7="🌿 即租即住","fa-home",B7="🌿 近国际学校","fa-school",B7="📌 商业旺铺","fa-store",B7="🌟 海景豪宅","fa-water-ladder",B7="📈 投资优选","fa-chart-line",B7="🏞️ 花园住宅","fa-tree",B7="🌟 2026全新地标","fa-drafting-compass",B7="📈 海外投资优选","fa-globe",B7="🌆 核心地段","fa-city",B7="🔥 限时优惠","fa-fire",B7="✅ 永久产权","fa-certificate",B7="🏅 高回报","fa-medal",B7="🏖️ 度假胜地","fa-umbrella-beach",B7="🏫 学区优选","fa-graduation-cap",B7="🛣️ 交通便利","fa-road",B7="🔑 即买即住","fa-key"),"fa-home")</f>
        <v>fa-home</v>
      </c>
      <c r="O7" s="31" t="str">
        <f aca="false">IF(D7&lt;&gt;"",D7,"")</f>
        <v/>
      </c>
      <c r="P7" s="31" t="str">
        <f aca="false">IF(D7&lt;&gt;"",SUBSTITUTE(SUBSTITUTE(SUBSTITUTE(SUBSTITUTE(SUBSTITUTE(SUBSTITUTE(SUBSTITUTE(SUBSTITUTE(SUBSTITUTE(SUBSTITUTE(D7,"亚庇","Kota Kinabalu"),"公寓","Condo"),"排屋","Terrace"),"别墅","Villa"),"店铺","Shop"),"新山","Johor Bahru"),"市中心","City Centre"),"高级","Premium"),"单位","Unit"),"住宅","Residence"),"")</f>
        <v/>
      </c>
      <c r="Q7" s="31" t="str">
        <f aca="false">IF(D7&lt;&gt;"",SUBSTITUTE(SUBSTITUTE(SUBSTITUTE(SUBSTITUTE(SUBSTITUTE(SUBSTITUTE(SUBSTITUTE(SUBSTITUTE(SUBSTITUTE(SUBSTITUTE(D7,"亚庇","Kota Kinabalu"),"公寓","Kondominium"),"排屋","Rumah Teres"),"别墅","Vila"),"店铺","Kedai"),"新山","Johor Bahru"),"市中心","Pusat Bandar"),"高级","Premium"),"单位","Unit"),"住宅","Kediaman"),"")</f>
        <v/>
      </c>
      <c r="R7" s="31" t="str">
        <f aca="false">IF(D7&lt;&gt;"","📍 "&amp;IF(E7&lt;&gt;"",E7&amp;"房","")&amp;IF(F7&lt;&gt;"",F7&amp;"卫 ","")&amp;IF(G7&lt;&gt;"",G7&amp;" sqft","")&amp;IF(AND(OR(E7&lt;&gt;"",G7&lt;&gt;""),H7&lt;&gt;"")," · ","")&amp;IF(H7&lt;&gt;"",H7,""),"")</f>
        <v/>
      </c>
      <c r="S7" s="31" t="str">
        <f aca="false">IF(D7&lt;&gt;"","📍 "&amp;IF(E7&lt;&gt;"",E7&amp;"BR ","")&amp;IF(F7&lt;&gt;"",F7&amp;"BA ","")&amp;IF(G7&lt;&gt;"",G7&amp;" sqft","")&amp;IF(AND(OR(E7&lt;&gt;"",G7&lt;&gt;""),H7&lt;&gt;"")," · ","")&amp;IF(H7&lt;&gt;"",SUBSTITUTE(SUBSTITUTE(SUBSTITUTE(SUBSTITUTE(SUBSTITUTE(SUBSTITUTE(SUBSTITUTE(SUBSTITUTE(SUBSTITUTE(SUBSTITUTE(H7,"游泳池","Swimming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7" s="31" t="str">
        <f aca="false">IF(D7&lt;&gt;"","📍 "&amp;IF(E7&lt;&gt;"",E7&amp;"Bilik ","")&amp;IF(F7&lt;&gt;"",F7&amp;"Bilik Air ","")&amp;IF(G7&lt;&gt;"",G7&amp;" sqft","")&amp;IF(AND(OR(E7&lt;&gt;"",G7&lt;&gt;""),H7&lt;&gt;"")," · ","")&amp;IF(H7&lt;&gt;"",SUBSTITUTE(SUBSTITUTE(SUBSTITUTE(SUBSTITUTE(SUBSTITUTE(SUBSTITUTE(SUBSTITUTE(SUBSTITUTE(SUBSTITUTE(SUBSTITUTE(H7,"游泳池","Kolam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7" s="32" t="str">
        <f aca="false">IF(OR(I7&lt;&gt;"",J7&lt;&gt;"",K7&lt;&gt;""),"🔒 "&amp;IF(I7&lt;&gt;"",I7,"")&amp;IF(AND(I7&lt;&gt;"",J7&lt;&gt;"")," · ","")&amp;IF(J7&lt;&gt;"",J7,"")&amp;IF(AND(OR(I7&lt;&gt;"",J7&lt;&gt;""),K7&lt;&gt;"")," · ","")&amp;IF(K7&lt;&gt;"",K7,""),"")</f>
        <v/>
      </c>
      <c r="V7" s="31" t="str">
        <f aca="false">IF(L7&lt;&gt;"","💰 起价 RM "&amp;TEXT(L7,"#,##0"),"")</f>
        <v/>
      </c>
      <c r="W7" s="31" t="str">
        <f aca="false">IF(L7&lt;&gt;"","💰 From RM "&amp;TEXT(L7,"#,##0"),"")</f>
        <v/>
      </c>
      <c r="X7" s="31" t="str">
        <f aca="false">IF(L7&lt;&gt;"","💰 Dari RM "&amp;TEXT(L7,"#,##0"),"")</f>
        <v/>
      </c>
      <c r="Y7" s="33" t="str">
        <f aca="false">IF(D7&lt;&gt;"","您好！我想咨询新楼盘：
🏠 "&amp;D7&amp;"
"&amp;IF(E7&lt;&gt;"","🛏 "&amp;E7&amp;"房"&amp;IF(F7&lt;&gt;""," "&amp;F7&amp;"卫","")&amp;"
","")&amp;IF(G7&lt;&gt;"","📐 "&amp;G7&amp;" sqft
","")&amp;IF(H7&lt;&gt;"","🏊 "&amp;H7&amp;"
","")&amp;IF(U7&lt;&gt;"",U7&amp;"
","")&amp;IF(L7&lt;&gt;"","💰 起价 RM "&amp;TEXT(L7,"#,##0")&amp;"
","")&amp;"
请问还有空档吗？谢谢！","")</f>
        <v/>
      </c>
      <c r="Z7" s="33" t="str">
        <f aca="false">IF(D7&lt;&gt;"","Hi! I'd like to make a new launch enquiry:
🏠 "&amp;P7&amp;"
"&amp;IF(E7&lt;&gt;"","🛏 "&amp;E7&amp;"BR"&amp;IF(F7&lt;&gt;""," "&amp;F7&amp;"BA","")&amp;"
","")&amp;IF(G7&lt;&gt;"","📐 "&amp;G7&amp;" sqft
","")&amp;IF(H7&lt;&gt;"","🏊 "&amp;SUBSTITUTE(SUBSTITUTE(SUBSTITUTE(SUBSTITUTE(SUBSTITUTE(SUBSTITUTE(SUBSTITUTE(SUBSTITUTE(SUBSTITUTE(SUBSTITUTE(H7,"游泳池","Swimming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Control"),""),"")&lt;&gt;"",IF(OR(I7&lt;&gt;"",J7&lt;&gt;"",K7&lt;&gt;""),"🔒 "&amp;IF(I7&lt;&gt;"",SUBSTITUTE(SUBSTITUTE(SUBSTITUTE(SUBSTITUTE(SUBSTITUTE(SUBSTITUTE(SUBSTITUTE(SUBSTITUTE(SUBSTITUTE(SUBSTITUTE(SUBSTITUTE(SUBSTITUTE(I7,"24小时保安","24hr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Control"),"")&amp;IF(AND(I7&lt;&gt;"",OR(J7&lt;&gt;"",K7&lt;&gt;""))," · ","")&amp;IF(J7&lt;&gt;"",SUBSTITUTE(SUBSTITUTE(SUBSTITUTE(SUBSTITUTE(SUBSTITUTE(SUBSTITUTE(SUBSTITUTE(SUBSTITUTE(SUBSTITUTE(SUBSTITUTE(SUBSTITUTE(SUBSTITUTE(J7,"24小时保安","24hr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Control"),"")&amp;IF(AND(J7&lt;&gt;"",K7&lt;&gt;"")," · ","")&amp;IF(K7&lt;&gt;"",SUBSTITUTE(SUBSTITUTE(SUBSTITUTE(SUBSTITUTE(SUBSTITUTE(SUBSTITUTE(SUBSTITUTE(SUBSTITUTE(SUBSTITUTE(SUBSTITUTE(SUBSTITUTE(SUBSTITUTE(K7,"24小时保安","24hr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","")&amp;IF(L7&lt;&gt;"","💰 From RM "&amp;TEXT(L7,"#,##0")&amp;"
","")&amp;"
Is this still available? Thank you!","")</f>
        <v/>
      </c>
      <c r="AA7" s="31"/>
      <c r="AB7" s="33" t="str">
        <f aca="false">IF(D7&lt;&gt;"","Helo! Saya ingin membuat pertanyaan projek baru:
🏠 "&amp;Q7&amp;"
"&amp;IF(E7&lt;&gt;"","🛏 "&amp;E7&amp;"Bilik"&amp;IF(F7&lt;&gt;""," "&amp;F7&amp;"Bilik Air","")&amp;"
","")&amp;IF(G7&lt;&gt;"","📐 "&amp;G7&amp;" sqft
","")&amp;IF(H7&lt;&gt;"","🏊 "&amp;SUBSTITUTE(SUBSTITUTE(SUBSTITUTE(SUBSTITUTE(SUBSTITUTE(SUBSTITUTE(SUBSTITUTE(SUBSTITUTE(SUBSTITUTE(SUBSTITUTE(H7,"游泳池","Kolam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Kawalan"),""),"")&lt;&gt;"",IF(OR(I7&lt;&gt;"",J7&lt;&gt;"",K7&lt;&gt;""),"🔒 "&amp;IF(I7&lt;&gt;"",SUBSTITUTE(SUBSTITUTE(SUBSTITUTE(SUBSTITUTE(SUBSTITUTE(SUBSTITUTE(SUBSTITUTE(SUBSTITUTE(SUBSTITUTE(SUBSTITUTE(SUBSTITUTE(SUBSTITUTE(I7,"24小时保安","Pengawal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Kawalan"),"")&amp;IF(AND(I7&lt;&gt;"",OR(J7&lt;&gt;"",K7&lt;&gt;""))," · ","")&amp;IF(J7&lt;&gt;"",SUBSTITUTE(SUBSTITUTE(SUBSTITUTE(SUBSTITUTE(SUBSTITUTE(SUBSTITUTE(SUBSTITUTE(SUBSTITUTE(SUBSTITUTE(SUBSTITUTE(SUBSTITUTE(SUBSTITUTE(J7,"24小时保安","Pengawal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Kawalan"),"")&amp;IF(AND(J7&lt;&gt;"",K7&lt;&gt;"")," · ","")&amp;IF(K7&lt;&gt;"",SUBSTITUTE(SUBSTITUTE(SUBSTITUTE(SUBSTITUTE(SUBSTITUTE(SUBSTITUTE(SUBSTITUTE(SUBSTITUTE(SUBSTITUTE(SUBSTITUTE(SUBSTITUTE(SUBSTITUTE(K7,"24小时保安","Pengawal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","")&amp;IF(L7&lt;&gt;"","💰 Dari RM "&amp;TEXT(L7,"#,##0")&amp;"
","")&amp;"
Adakah masih tersedia? Terima kasih!","")</f>
        <v/>
      </c>
    </row>
    <row r="8" customFormat="false" ht="51.75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9"/>
      <c r="J8" s="29"/>
      <c r="K8" s="29"/>
      <c r="L8" s="28"/>
      <c r="M8" s="30"/>
      <c r="N8" s="31" t="str">
        <f aca="false">IFERROR(ifs(B8="🏢 Condo 公寓","fa-building",B8="🏠 Apartment 单位","fa-home",B8="🌿 即租即住","fa-home",B8="🌿 近国际学校","fa-school",B8="📌 商业旺铺","fa-store",B8="🌟 海景豪宅","fa-water-ladder",B8="📈 投资优选","fa-chart-line",B8="🏞️ 花园住宅","fa-tree",B8="🌟 2026全新地标","fa-drafting-compass",B8="📈 海外投资优选","fa-globe",B8="🌆 核心地段","fa-city",B8="🔥 限时优惠","fa-fire",B8="✅ 永久产权","fa-certificate",B8="🏅 高回报","fa-medal",B8="🏖️ 度假胜地","fa-umbrella-beach",B8="🏫 学区优选","fa-graduation-cap",B8="🛣️ 交通便利","fa-road",B8="🔑 即买即住","fa-key"),"fa-home")</f>
        <v>fa-home</v>
      </c>
      <c r="O8" s="31" t="str">
        <f aca="false">IF(D8&lt;&gt;"",D8,"")</f>
        <v/>
      </c>
      <c r="P8" s="31" t="str">
        <f aca="false">IF(D8&lt;&gt;"",SUBSTITUTE(SUBSTITUTE(SUBSTITUTE(SUBSTITUTE(SUBSTITUTE(SUBSTITUTE(SUBSTITUTE(SUBSTITUTE(SUBSTITUTE(SUBSTITUTE(D8,"亚庇","Kota Kinabalu"),"公寓","Condo"),"排屋","Terrace"),"别墅","Villa"),"店铺","Shop"),"新山","Johor Bahru"),"市中心","City Centre"),"高级","Premium"),"单位","Unit"),"住宅","Residence"),"")</f>
        <v/>
      </c>
      <c r="Q8" s="31" t="str">
        <f aca="false">IF(D8&lt;&gt;"",SUBSTITUTE(SUBSTITUTE(SUBSTITUTE(SUBSTITUTE(SUBSTITUTE(SUBSTITUTE(SUBSTITUTE(SUBSTITUTE(SUBSTITUTE(SUBSTITUTE(D8,"亚庇","Kota Kinabalu"),"公寓","Kondominium"),"排屋","Rumah Teres"),"别墅","Vila"),"店铺","Kedai"),"新山","Johor Bahru"),"市中心","Pusat Bandar"),"高级","Premium"),"单位","Unit"),"住宅","Kediaman"),"")</f>
        <v/>
      </c>
      <c r="R8" s="31" t="str">
        <f aca="false">IF(D8&lt;&gt;"","📍 "&amp;IF(E8&lt;&gt;"",E8&amp;"房","")&amp;IF(F8&lt;&gt;"",F8&amp;"卫 ","")&amp;IF(G8&lt;&gt;"",G8&amp;" sqft","")&amp;IF(AND(OR(E8&lt;&gt;"",G8&lt;&gt;""),H8&lt;&gt;"")," · ","")&amp;IF(H8&lt;&gt;"",H8,""),"")</f>
        <v/>
      </c>
      <c r="S8" s="31" t="str">
        <f aca="false">IF(D8&lt;&gt;"","📍 "&amp;IF(E8&lt;&gt;"",E8&amp;"BR ","")&amp;IF(F8&lt;&gt;"",F8&amp;"BA ","")&amp;IF(G8&lt;&gt;"",G8&amp;" sqft","")&amp;IF(AND(OR(E8&lt;&gt;"",G8&lt;&gt;""),H8&lt;&gt;"")," · ","")&amp;IF(H8&lt;&gt;"",SUBSTITUTE(SUBSTITUTE(SUBSTITUTE(SUBSTITUTE(SUBSTITUTE(SUBSTITUTE(SUBSTITUTE(SUBSTITUTE(SUBSTITUTE(SUBSTITUTE(H8,"游泳池","Swimming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8" s="31" t="str">
        <f aca="false">IF(D8&lt;&gt;"","📍 "&amp;IF(E8&lt;&gt;"",E8&amp;"Bilik ","")&amp;IF(F8&lt;&gt;"",F8&amp;"Bilik Air ","")&amp;IF(G8&lt;&gt;"",G8&amp;" sqft","")&amp;IF(AND(OR(E8&lt;&gt;"",G8&lt;&gt;""),H8&lt;&gt;"")," · ","")&amp;IF(H8&lt;&gt;"",SUBSTITUTE(SUBSTITUTE(SUBSTITUTE(SUBSTITUTE(SUBSTITUTE(SUBSTITUTE(SUBSTITUTE(SUBSTITUTE(SUBSTITUTE(SUBSTITUTE(H8,"游泳池","Kolam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8" s="32" t="str">
        <f aca="false">IF(OR(I8&lt;&gt;"",J8&lt;&gt;"",K8&lt;&gt;""),"🔒 "&amp;IF(I8&lt;&gt;"",I8,"")&amp;IF(AND(I8&lt;&gt;"",J8&lt;&gt;"")," · ","")&amp;IF(J8&lt;&gt;"",J8,"")&amp;IF(AND(OR(I8&lt;&gt;"",J8&lt;&gt;""),K8&lt;&gt;"")," · ","")&amp;IF(K8&lt;&gt;"",K8,""),"")</f>
        <v/>
      </c>
      <c r="V8" s="31" t="str">
        <f aca="false">IF(L8&lt;&gt;"","💰 起价 RM "&amp;TEXT(L8,"#,##0"),"")</f>
        <v/>
      </c>
      <c r="W8" s="31" t="str">
        <f aca="false">IF(L8&lt;&gt;"","💰 From RM "&amp;TEXT(L8,"#,##0"),"")</f>
        <v/>
      </c>
      <c r="X8" s="31" t="str">
        <f aca="false">IF(L8&lt;&gt;"","💰 Dari RM "&amp;TEXT(L8,"#,##0"),"")</f>
        <v/>
      </c>
      <c r="Y8" s="33" t="str">
        <f aca="false">IF(D8&lt;&gt;"","您好！我想咨询新楼盘：
🏠 "&amp;D8&amp;"
"&amp;IF(E8&lt;&gt;"","🛏 "&amp;E8&amp;"房"&amp;IF(F8&lt;&gt;""," "&amp;F8&amp;"卫","")&amp;"
","")&amp;IF(G8&lt;&gt;"","📐 "&amp;G8&amp;" sqft
","")&amp;IF(H8&lt;&gt;"","🏊 "&amp;H8&amp;"
","")&amp;IF(U8&lt;&gt;"",U8&amp;"
","")&amp;IF(L8&lt;&gt;"","💰 起价 RM "&amp;TEXT(L8,"#,##0")&amp;"
","")&amp;"
请问还有空档吗？谢谢！","")</f>
        <v/>
      </c>
      <c r="Z8" s="33" t="str">
        <f aca="false">IF(D8&lt;&gt;"","Hi! I'd like to make a new launch enquiry:
🏠 "&amp;P8&amp;"
"&amp;IF(E8&lt;&gt;"","🛏 "&amp;E8&amp;"BR"&amp;IF(F8&lt;&gt;""," "&amp;F8&amp;"BA","")&amp;"
","")&amp;IF(G8&lt;&gt;"","📐 "&amp;G8&amp;" sqft
","")&amp;IF(H8&lt;&gt;"","🏊 "&amp;SUBSTITUTE(SUBSTITUTE(SUBSTITUTE(SUBSTITUTE(SUBSTITUTE(SUBSTITUTE(SUBSTITUTE(SUBSTITUTE(SUBSTITUTE(SUBSTITUTE(H8,"游泳池","Swimming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Control"),""),"")&lt;&gt;"",IF(OR(I8&lt;&gt;"",J8&lt;&gt;"",K8&lt;&gt;""),"🔒 "&amp;IF(I8&lt;&gt;"",SUBSTITUTE(SUBSTITUTE(SUBSTITUTE(SUBSTITUTE(SUBSTITUTE(SUBSTITUTE(SUBSTITUTE(SUBSTITUTE(SUBSTITUTE(SUBSTITUTE(SUBSTITUTE(SUBSTITUTE(I8,"24小时保安","24hr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Control"),"")&amp;IF(AND(I8&lt;&gt;"",OR(J8&lt;&gt;"",K8&lt;&gt;""))," · ","")&amp;IF(J8&lt;&gt;"",SUBSTITUTE(SUBSTITUTE(SUBSTITUTE(SUBSTITUTE(SUBSTITUTE(SUBSTITUTE(SUBSTITUTE(SUBSTITUTE(SUBSTITUTE(SUBSTITUTE(SUBSTITUTE(SUBSTITUTE(J8,"24小时保安","24hr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Control"),"")&amp;IF(AND(J8&lt;&gt;"",K8&lt;&gt;"")," · ","")&amp;IF(K8&lt;&gt;"",SUBSTITUTE(SUBSTITUTE(SUBSTITUTE(SUBSTITUTE(SUBSTITUTE(SUBSTITUTE(SUBSTITUTE(SUBSTITUTE(SUBSTITUTE(SUBSTITUTE(SUBSTITUTE(SUBSTITUTE(K8,"24小时保安","24hr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","")&amp;IF(L8&lt;&gt;"","💰 From RM "&amp;TEXT(L8,"#,##0")&amp;"
","")&amp;"
Is this still available? Thank you!","")</f>
        <v/>
      </c>
      <c r="AA8" s="31"/>
      <c r="AB8" s="33" t="str">
        <f aca="false">IF(D8&lt;&gt;"","Helo! Saya ingin membuat pertanyaan projek baru:
🏠 "&amp;Q8&amp;"
"&amp;IF(E8&lt;&gt;"","🛏 "&amp;E8&amp;"Bilik"&amp;IF(F8&lt;&gt;""," "&amp;F8&amp;"Bilik Air","")&amp;"
","")&amp;IF(G8&lt;&gt;"","📐 "&amp;G8&amp;" sqft
","")&amp;IF(H8&lt;&gt;"","🏊 "&amp;SUBSTITUTE(SUBSTITUTE(SUBSTITUTE(SUBSTITUTE(SUBSTITUTE(SUBSTITUTE(SUBSTITUTE(SUBSTITUTE(SUBSTITUTE(SUBSTITUTE(H8,"游泳池","Kolam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Kawalan"),""),"")&lt;&gt;"",IF(OR(I8&lt;&gt;"",J8&lt;&gt;"",K8&lt;&gt;""),"🔒 "&amp;IF(I8&lt;&gt;"",SUBSTITUTE(SUBSTITUTE(SUBSTITUTE(SUBSTITUTE(SUBSTITUTE(SUBSTITUTE(SUBSTITUTE(SUBSTITUTE(SUBSTITUTE(SUBSTITUTE(SUBSTITUTE(SUBSTITUTE(I8,"24小时保安","Pengawal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Kawalan"),"")&amp;IF(AND(I8&lt;&gt;"",OR(J8&lt;&gt;"",K8&lt;&gt;""))," · ","")&amp;IF(J8&lt;&gt;"",SUBSTITUTE(SUBSTITUTE(SUBSTITUTE(SUBSTITUTE(SUBSTITUTE(SUBSTITUTE(SUBSTITUTE(SUBSTITUTE(SUBSTITUTE(SUBSTITUTE(SUBSTITUTE(SUBSTITUTE(J8,"24小时保安","Pengawal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Kawalan"),"")&amp;IF(AND(J8&lt;&gt;"",K8&lt;&gt;"")," · ","")&amp;IF(K8&lt;&gt;"",SUBSTITUTE(SUBSTITUTE(SUBSTITUTE(SUBSTITUTE(SUBSTITUTE(SUBSTITUTE(SUBSTITUTE(SUBSTITUTE(SUBSTITUTE(SUBSTITUTE(SUBSTITUTE(SUBSTITUTE(K8,"24小时保安","Pengawal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","")&amp;IF(L8&lt;&gt;"","💰 Dari RM "&amp;TEXT(L8,"#,##0")&amp;"
","")&amp;"
Adakah masih tersedia? Terima kasih!","")</f>
        <v/>
      </c>
    </row>
    <row r="9" customFormat="false" ht="51.7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8"/>
      <c r="M9" s="30"/>
      <c r="N9" s="31" t="str">
        <f aca="false">IFERROR(ifs(B9="🏢 Condo 公寓","fa-building",B9="🏠 Apartment 单位","fa-home",B9="🌿 即租即住","fa-home",B9="🌿 近国际学校","fa-school",B9="📌 商业旺铺","fa-store",B9="🌟 海景豪宅","fa-water-ladder",B9="📈 投资优选","fa-chart-line",B9="🏞️ 花园住宅","fa-tree",B9="🌟 2026全新地标","fa-drafting-compass",B9="📈 海外投资优选","fa-globe",B9="🌆 核心地段","fa-city",B9="🔥 限时优惠","fa-fire",B9="✅ 永久产权","fa-certificate",B9="🏅 高回报","fa-medal",B9="🏖️ 度假胜地","fa-umbrella-beach",B9="🏫 学区优选","fa-graduation-cap",B9="🛣️ 交通便利","fa-road",B9="🔑 即买即住","fa-key"),"fa-home")</f>
        <v>fa-home</v>
      </c>
      <c r="O9" s="31" t="str">
        <f aca="false">IF(D9&lt;&gt;"",D9,"")</f>
        <v/>
      </c>
      <c r="P9" s="31" t="str">
        <f aca="false">IF(D9&lt;&gt;"",SUBSTITUTE(SUBSTITUTE(SUBSTITUTE(SUBSTITUTE(SUBSTITUTE(SUBSTITUTE(SUBSTITUTE(SUBSTITUTE(SUBSTITUTE(SUBSTITUTE(D9,"亚庇","Kota Kinabalu"),"公寓","Condo"),"排屋","Terrace"),"别墅","Villa"),"店铺","Shop"),"新山","Johor Bahru"),"市中心","City Centre"),"高级","Premium"),"单位","Unit"),"住宅","Residence"),"")</f>
        <v/>
      </c>
      <c r="Q9" s="31" t="str">
        <f aca="false">IF(D9&lt;&gt;"",SUBSTITUTE(SUBSTITUTE(SUBSTITUTE(SUBSTITUTE(SUBSTITUTE(SUBSTITUTE(SUBSTITUTE(SUBSTITUTE(SUBSTITUTE(SUBSTITUTE(D9,"亚庇","Kota Kinabalu"),"公寓","Kondominium"),"排屋","Rumah Teres"),"别墅","Vila"),"店铺","Kedai"),"新山","Johor Bahru"),"市中心","Pusat Bandar"),"高级","Premium"),"单位","Unit"),"住宅","Kediaman"),"")</f>
        <v/>
      </c>
      <c r="R9" s="31" t="str">
        <f aca="false">IF(D9&lt;&gt;"","📍 "&amp;IF(E9&lt;&gt;"",E9&amp;"房","")&amp;IF(F9&lt;&gt;"",F9&amp;"卫 ","")&amp;IF(G9&lt;&gt;"",G9&amp;" sqft","")&amp;IF(AND(OR(E9&lt;&gt;"",G9&lt;&gt;""),H9&lt;&gt;"")," · ","")&amp;IF(H9&lt;&gt;"",H9,""),"")</f>
        <v/>
      </c>
      <c r="S9" s="31" t="str">
        <f aca="false">IF(D9&lt;&gt;"","📍 "&amp;IF(E9&lt;&gt;"",E9&amp;"BR ","")&amp;IF(F9&lt;&gt;"",F9&amp;"BA ","")&amp;IF(G9&lt;&gt;"",G9&amp;" sqft","")&amp;IF(AND(OR(E9&lt;&gt;"",G9&lt;&gt;""),H9&lt;&gt;"")," · ","")&amp;IF(H9&lt;&gt;"",SUBSTITUTE(SUBSTITUTE(SUBSTITUTE(SUBSTITUTE(SUBSTITUTE(SUBSTITUTE(SUBSTITUTE(SUBSTITUTE(SUBSTITUTE(SUBSTITUTE(H9,"游泳池","Swimming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9" s="31" t="str">
        <f aca="false">IF(D9&lt;&gt;"","📍 "&amp;IF(E9&lt;&gt;"",E9&amp;"Bilik ","")&amp;IF(F9&lt;&gt;"",F9&amp;"Bilik Air ","")&amp;IF(G9&lt;&gt;"",G9&amp;" sqft","")&amp;IF(AND(OR(E9&lt;&gt;"",G9&lt;&gt;""),H9&lt;&gt;"")," · ","")&amp;IF(H9&lt;&gt;"",SUBSTITUTE(SUBSTITUTE(SUBSTITUTE(SUBSTITUTE(SUBSTITUTE(SUBSTITUTE(SUBSTITUTE(SUBSTITUTE(SUBSTITUTE(SUBSTITUTE(H9,"游泳池","Kolam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9" s="32" t="str">
        <f aca="false">IF(OR(I9&lt;&gt;"",J9&lt;&gt;"",K9&lt;&gt;""),"🔒 "&amp;IF(I9&lt;&gt;"",I9,"")&amp;IF(AND(I9&lt;&gt;"",J9&lt;&gt;"")," · ","")&amp;IF(J9&lt;&gt;"",J9,"")&amp;IF(AND(OR(I9&lt;&gt;"",J9&lt;&gt;""),K9&lt;&gt;"")," · ","")&amp;IF(K9&lt;&gt;"",K9,""),"")</f>
        <v/>
      </c>
      <c r="V9" s="31" t="str">
        <f aca="false">IF(L9&lt;&gt;"","💰 起价 RM "&amp;TEXT(L9,"#,##0"),"")</f>
        <v/>
      </c>
      <c r="W9" s="31" t="str">
        <f aca="false">IF(L9&lt;&gt;"","💰 From RM "&amp;TEXT(L9,"#,##0"),"")</f>
        <v/>
      </c>
      <c r="X9" s="31" t="str">
        <f aca="false">IF(L9&lt;&gt;"","💰 Dari RM "&amp;TEXT(L9,"#,##0"),"")</f>
        <v/>
      </c>
      <c r="Y9" s="33" t="str">
        <f aca="false">IF(D9&lt;&gt;"","您好！我想咨询新楼盘：
🏠 "&amp;D9&amp;"
"&amp;IF(E9&lt;&gt;"","🛏 "&amp;E9&amp;"房"&amp;IF(F9&lt;&gt;""," "&amp;F9&amp;"卫","")&amp;"
","")&amp;IF(G9&lt;&gt;"","📐 "&amp;G9&amp;" sqft
","")&amp;IF(H9&lt;&gt;"","🏊 "&amp;H9&amp;"
","")&amp;IF(U9&lt;&gt;"",U9&amp;"
","")&amp;IF(L9&lt;&gt;"","💰 起价 RM "&amp;TEXT(L9,"#,##0")&amp;"
","")&amp;"
请问还有空档吗？谢谢！","")</f>
        <v/>
      </c>
      <c r="Z9" s="33" t="str">
        <f aca="false">IF(D9&lt;&gt;"","Hi! I'd like to make a new launch enquiry:
🏠 "&amp;P9&amp;"
"&amp;IF(E9&lt;&gt;"","🛏 "&amp;E9&amp;"BR"&amp;IF(F9&lt;&gt;""," "&amp;F9&amp;"BA","")&amp;"
","")&amp;IF(G9&lt;&gt;"","📐 "&amp;G9&amp;" sqft
","")&amp;IF(H9&lt;&gt;"","🏊 "&amp;SUBSTITUTE(SUBSTITUTE(SUBSTITUTE(SUBSTITUTE(SUBSTITUTE(SUBSTITUTE(SUBSTITUTE(SUBSTITUTE(SUBSTITUTE(SUBSTITUTE(H9,"游泳池","Swimming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Control"),""),"")&lt;&gt;"",IF(OR(I9&lt;&gt;"",J9&lt;&gt;"",K9&lt;&gt;""),"🔒 "&amp;IF(I9&lt;&gt;"",SUBSTITUTE(SUBSTITUTE(SUBSTITUTE(SUBSTITUTE(SUBSTITUTE(SUBSTITUTE(SUBSTITUTE(SUBSTITUTE(SUBSTITUTE(SUBSTITUTE(SUBSTITUTE(SUBSTITUTE(I9,"24小时保安","24hr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Control"),"")&amp;IF(AND(I9&lt;&gt;"",OR(J9&lt;&gt;"",K9&lt;&gt;""))," · ","")&amp;IF(J9&lt;&gt;"",SUBSTITUTE(SUBSTITUTE(SUBSTITUTE(SUBSTITUTE(SUBSTITUTE(SUBSTITUTE(SUBSTITUTE(SUBSTITUTE(SUBSTITUTE(SUBSTITUTE(SUBSTITUTE(SUBSTITUTE(J9,"24小时保安","24hr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Control"),"")&amp;IF(AND(J9&lt;&gt;"",K9&lt;&gt;"")," · ","")&amp;IF(K9&lt;&gt;"",SUBSTITUTE(SUBSTITUTE(SUBSTITUTE(SUBSTITUTE(SUBSTITUTE(SUBSTITUTE(SUBSTITUTE(SUBSTITUTE(SUBSTITUTE(SUBSTITUTE(SUBSTITUTE(SUBSTITUTE(K9,"24小时保安","24hr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","")&amp;IF(L9&lt;&gt;"","💰 From RM "&amp;TEXT(L9,"#,##0")&amp;"
","")&amp;"
Is this still available? Thank you!","")</f>
        <v/>
      </c>
      <c r="AA9" s="31"/>
      <c r="AB9" s="33" t="str">
        <f aca="false">IF(D9&lt;&gt;"","Helo! Saya ingin membuat pertanyaan projek baru:
🏠 "&amp;Q9&amp;"
"&amp;IF(E9&lt;&gt;"","🛏 "&amp;E9&amp;"Bilik"&amp;IF(F9&lt;&gt;""," "&amp;F9&amp;"Bilik Air","")&amp;"
","")&amp;IF(G9&lt;&gt;"","📐 "&amp;G9&amp;" sqft
","")&amp;IF(H9&lt;&gt;"","🏊 "&amp;SUBSTITUTE(SUBSTITUTE(SUBSTITUTE(SUBSTITUTE(SUBSTITUTE(SUBSTITUTE(SUBSTITUTE(SUBSTITUTE(SUBSTITUTE(SUBSTITUTE(H9,"游泳池","Kolam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Kawalan"),""),"")&lt;&gt;"",IF(OR(I9&lt;&gt;"",J9&lt;&gt;"",K9&lt;&gt;""),"🔒 "&amp;IF(I9&lt;&gt;"",SUBSTITUTE(SUBSTITUTE(SUBSTITUTE(SUBSTITUTE(SUBSTITUTE(SUBSTITUTE(SUBSTITUTE(SUBSTITUTE(SUBSTITUTE(SUBSTITUTE(SUBSTITUTE(SUBSTITUTE(I9,"24小时保安","Pengawal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Kawalan"),"")&amp;IF(AND(I9&lt;&gt;"",OR(J9&lt;&gt;"",K9&lt;&gt;""))," · ","")&amp;IF(J9&lt;&gt;"",SUBSTITUTE(SUBSTITUTE(SUBSTITUTE(SUBSTITUTE(SUBSTITUTE(SUBSTITUTE(SUBSTITUTE(SUBSTITUTE(SUBSTITUTE(SUBSTITUTE(SUBSTITUTE(SUBSTITUTE(J9,"24小时保安","Pengawal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Kawalan"),"")&amp;IF(AND(J9&lt;&gt;"",K9&lt;&gt;"")," · ","")&amp;IF(K9&lt;&gt;"",SUBSTITUTE(SUBSTITUTE(SUBSTITUTE(SUBSTITUTE(SUBSTITUTE(SUBSTITUTE(SUBSTITUTE(SUBSTITUTE(SUBSTITUTE(SUBSTITUTE(SUBSTITUTE(SUBSTITUTE(K9,"24小时保安","Pengawal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","")&amp;IF(L9&lt;&gt;"","💰 Dari RM "&amp;TEXT(L9,"#,##0")&amp;"
","")&amp;"
Adakah masih tersedia? Terima kasih!","")</f>
        <v/>
      </c>
    </row>
    <row r="10" customFormat="false" ht="51.7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29"/>
      <c r="L10" s="28"/>
      <c r="M10" s="30"/>
      <c r="N10" s="31" t="str">
        <f aca="false">IFERROR(ifs(B10="🏢 Condo 公寓","fa-building",B10="🏠 Apartment 单位","fa-home",B10="🌿 即租即住","fa-home",B10="🌿 近国际学校","fa-school",B10="📌 商业旺铺","fa-store",B10="🌟 海景豪宅","fa-water-ladder",B10="📈 投资优选","fa-chart-line",B10="🏞️ 花园住宅","fa-tree",B10="🌟 2026全新地标","fa-drafting-compass",B10="📈 海外投资优选","fa-globe",B10="🌆 核心地段","fa-city",B10="🔥 限时优惠","fa-fire",B10="✅ 永久产权","fa-certificate",B10="🏅 高回报","fa-medal",B10="🏖️ 度假胜地","fa-umbrella-beach",B10="🏫 学区优选","fa-graduation-cap",B10="🛣️ 交通便利","fa-road",B10="🔑 即买即住","fa-key"),"fa-home")</f>
        <v>fa-home</v>
      </c>
      <c r="O10" s="31" t="str">
        <f aca="false">IF(D10&lt;&gt;"",D10,"")</f>
        <v/>
      </c>
      <c r="P10" s="31" t="str">
        <f aca="false">IF(D10&lt;&gt;"",SUBSTITUTE(SUBSTITUTE(SUBSTITUTE(SUBSTITUTE(SUBSTITUTE(SUBSTITUTE(SUBSTITUTE(SUBSTITUTE(SUBSTITUTE(SUBSTITUTE(D10,"亚庇","Kota Kinabalu"),"公寓","Condo"),"排屋","Terrace"),"别墅","Villa"),"店铺","Shop"),"新山","Johor Bahru"),"市中心","City Centre"),"高级","Premium"),"单位","Unit"),"住宅","Residence"),"")</f>
        <v/>
      </c>
      <c r="Q10" s="31" t="str">
        <f aca="false">IF(D10&lt;&gt;"",SUBSTITUTE(SUBSTITUTE(SUBSTITUTE(SUBSTITUTE(SUBSTITUTE(SUBSTITUTE(SUBSTITUTE(SUBSTITUTE(SUBSTITUTE(SUBSTITUTE(D10,"亚庇","Kota Kinabalu"),"公寓","Kondominium"),"排屋","Rumah Teres"),"别墅","Vila"),"店铺","Kedai"),"新山","Johor Bahru"),"市中心","Pusat Bandar"),"高级","Premium"),"单位","Unit"),"住宅","Kediaman"),"")</f>
        <v/>
      </c>
      <c r="R10" s="31" t="str">
        <f aca="false">IF(D10&lt;&gt;"","📍 "&amp;IF(E10&lt;&gt;"",E10&amp;"房","")&amp;IF(F10&lt;&gt;"",F10&amp;"卫 ","")&amp;IF(G10&lt;&gt;"",G10&amp;" sqft","")&amp;IF(AND(OR(E10&lt;&gt;"",G10&lt;&gt;""),H10&lt;&gt;"")," · ","")&amp;IF(H10&lt;&gt;"",H10,""),"")</f>
        <v/>
      </c>
      <c r="S10" s="31" t="str">
        <f aca="false">IF(D10&lt;&gt;"","📍 "&amp;IF(E10&lt;&gt;"",E10&amp;"BR ","")&amp;IF(F10&lt;&gt;"",F10&amp;"BA ","")&amp;IF(G10&lt;&gt;"",G10&amp;" sqft","")&amp;IF(AND(OR(E10&lt;&gt;"",G10&lt;&gt;""),H10&lt;&gt;"")," · ","")&amp;IF(H10&lt;&gt;"",SUBSTITUTE(SUBSTITUTE(SUBSTITUTE(SUBSTITUTE(SUBSTITUTE(SUBSTITUTE(SUBSTITUTE(SUBSTITUTE(SUBSTITUTE(SUBSTITUTE(H10,"游泳池","Swimming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0" s="31" t="str">
        <f aca="false">IF(D10&lt;&gt;"","📍 "&amp;IF(E10&lt;&gt;"",E10&amp;"Bilik ","")&amp;IF(F10&lt;&gt;"",F10&amp;"Bilik Air ","")&amp;IF(G10&lt;&gt;"",G10&amp;" sqft","")&amp;IF(AND(OR(E10&lt;&gt;"",G10&lt;&gt;""),H10&lt;&gt;"")," · ","")&amp;IF(H10&lt;&gt;"",SUBSTITUTE(SUBSTITUTE(SUBSTITUTE(SUBSTITUTE(SUBSTITUTE(SUBSTITUTE(SUBSTITUTE(SUBSTITUTE(SUBSTITUTE(SUBSTITUTE(H10,"游泳池","Kolam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0" s="32" t="str">
        <f aca="false">IF(OR(I10&lt;&gt;"",J10&lt;&gt;"",K10&lt;&gt;""),"🔒 "&amp;IF(I10&lt;&gt;"",I10,"")&amp;IF(AND(I10&lt;&gt;"",J10&lt;&gt;"")," · ","")&amp;IF(J10&lt;&gt;"",J10,"")&amp;IF(AND(OR(I10&lt;&gt;"",J10&lt;&gt;""),K10&lt;&gt;"")," · ","")&amp;IF(K10&lt;&gt;"",K10,""),"")</f>
        <v/>
      </c>
      <c r="V10" s="31" t="str">
        <f aca="false">IF(L10&lt;&gt;"","💰 起价 RM "&amp;TEXT(L10,"#,##0"),"")</f>
        <v/>
      </c>
      <c r="W10" s="31" t="str">
        <f aca="false">IF(L10&lt;&gt;"","💰 From RM "&amp;TEXT(L10,"#,##0"),"")</f>
        <v/>
      </c>
      <c r="X10" s="31" t="str">
        <f aca="false">IF(L10&lt;&gt;"","💰 Dari RM "&amp;TEXT(L10,"#,##0"),"")</f>
        <v/>
      </c>
      <c r="Y10" s="33" t="str">
        <f aca="false">IF(D10&lt;&gt;"","您好！我想咨询新楼盘：
🏠 "&amp;D10&amp;"
"&amp;IF(E10&lt;&gt;"","🛏 "&amp;E10&amp;"房"&amp;IF(F10&lt;&gt;""," "&amp;F10&amp;"卫","")&amp;"
","")&amp;IF(G10&lt;&gt;"","📐 "&amp;G10&amp;" sqft
","")&amp;IF(H10&lt;&gt;"","🏊 "&amp;H10&amp;"
","")&amp;IF(U10&lt;&gt;"",U10&amp;"
","")&amp;IF(L10&lt;&gt;"","💰 起价 RM "&amp;TEXT(L10,"#,##0")&amp;"
","")&amp;"
请问还有空档吗？谢谢！","")</f>
        <v/>
      </c>
      <c r="Z10" s="33" t="str">
        <f aca="false">IF(D10&lt;&gt;"","Hi! I'd like to make a new launch enquiry:
🏠 "&amp;P10&amp;"
"&amp;IF(E10&lt;&gt;"","🛏 "&amp;E10&amp;"BR"&amp;IF(F10&lt;&gt;""," "&amp;F10&amp;"BA","")&amp;"
","")&amp;IF(G10&lt;&gt;"","📐 "&amp;G10&amp;" sqft
","")&amp;IF(H10&lt;&gt;"","🏊 "&amp;SUBSTITUTE(SUBSTITUTE(SUBSTITUTE(SUBSTITUTE(SUBSTITUTE(SUBSTITUTE(SUBSTITUTE(SUBSTITUTE(SUBSTITUTE(SUBSTITUTE(H10,"游泳池","Swimming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Control"),""),"")&lt;&gt;"",IF(OR(I10&lt;&gt;"",J10&lt;&gt;"",K10&lt;&gt;""),"🔒 "&amp;IF(I10&lt;&gt;"",SUBSTITUTE(SUBSTITUTE(SUBSTITUTE(SUBSTITUTE(SUBSTITUTE(SUBSTITUTE(SUBSTITUTE(SUBSTITUTE(SUBSTITUTE(SUBSTITUTE(SUBSTITUTE(SUBSTITUTE(I10,"24小时保安","24hr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Control"),"")&amp;IF(AND(I10&lt;&gt;"",OR(J10&lt;&gt;"",K10&lt;&gt;""))," · ","")&amp;IF(J10&lt;&gt;"",SUBSTITUTE(SUBSTITUTE(SUBSTITUTE(SUBSTITUTE(SUBSTITUTE(SUBSTITUTE(SUBSTITUTE(SUBSTITUTE(SUBSTITUTE(SUBSTITUTE(SUBSTITUTE(SUBSTITUTE(J10,"24小时保安","24hr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Control"),"")&amp;IF(AND(J10&lt;&gt;"",K10&lt;&gt;"")," · ","")&amp;IF(K10&lt;&gt;"",SUBSTITUTE(SUBSTITUTE(SUBSTITUTE(SUBSTITUTE(SUBSTITUTE(SUBSTITUTE(SUBSTITUTE(SUBSTITUTE(SUBSTITUTE(SUBSTITUTE(SUBSTITUTE(SUBSTITUTE(K10,"24小时保安","24hr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","")&amp;IF(L10&lt;&gt;"","💰 From RM "&amp;TEXT(L10,"#,##0")&amp;"
","")&amp;"
Is this still available? Thank you!","")</f>
        <v/>
      </c>
      <c r="AA10" s="31"/>
      <c r="AB10" s="33" t="str">
        <f aca="false">IF(D10&lt;&gt;"","Helo! Saya ingin membuat pertanyaan projek baru:
🏠 "&amp;Q10&amp;"
"&amp;IF(E10&lt;&gt;"","🛏 "&amp;E10&amp;"Bilik"&amp;IF(F10&lt;&gt;""," "&amp;F10&amp;"Bilik Air","")&amp;"
","")&amp;IF(G10&lt;&gt;"","📐 "&amp;G10&amp;" sqft
","")&amp;IF(H10&lt;&gt;"","🏊 "&amp;SUBSTITUTE(SUBSTITUTE(SUBSTITUTE(SUBSTITUTE(SUBSTITUTE(SUBSTITUTE(SUBSTITUTE(SUBSTITUTE(SUBSTITUTE(SUBSTITUTE(H10,"游泳池","Kolam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Kawalan"),""),"")&lt;&gt;"",IF(OR(I10&lt;&gt;"",J10&lt;&gt;"",K10&lt;&gt;""),"🔒 "&amp;IF(I10&lt;&gt;"",SUBSTITUTE(SUBSTITUTE(SUBSTITUTE(SUBSTITUTE(SUBSTITUTE(SUBSTITUTE(SUBSTITUTE(SUBSTITUTE(SUBSTITUTE(SUBSTITUTE(SUBSTITUTE(SUBSTITUTE(I10,"24小时保安","Pengawal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Kawalan"),"")&amp;IF(AND(I10&lt;&gt;"",OR(J10&lt;&gt;"",K10&lt;&gt;""))," · ","")&amp;IF(J10&lt;&gt;"",SUBSTITUTE(SUBSTITUTE(SUBSTITUTE(SUBSTITUTE(SUBSTITUTE(SUBSTITUTE(SUBSTITUTE(SUBSTITUTE(SUBSTITUTE(SUBSTITUTE(SUBSTITUTE(SUBSTITUTE(J10,"24小时保安","Pengawal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Kawalan"),"")&amp;IF(AND(J10&lt;&gt;"",K10&lt;&gt;"")," · ","")&amp;IF(K10&lt;&gt;"",SUBSTITUTE(SUBSTITUTE(SUBSTITUTE(SUBSTITUTE(SUBSTITUTE(SUBSTITUTE(SUBSTITUTE(SUBSTITUTE(SUBSTITUTE(SUBSTITUTE(SUBSTITUTE(SUBSTITUTE(K10,"24小时保安","Pengawal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","")&amp;IF(L10&lt;&gt;"","💰 Dari RM "&amp;TEXT(L10,"#,##0")&amp;"
","")&amp;"
Adakah masih tersedia? Terima kasih!","")</f>
        <v/>
      </c>
    </row>
    <row r="11" customFormat="false" ht="51.7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29"/>
      <c r="L11" s="28"/>
      <c r="M11" s="30"/>
      <c r="N11" s="31" t="str">
        <f aca="false">IFERROR(ifs(B11="🏢 Condo 公寓","fa-building",B11="🏠 Apartment 单位","fa-home",B11="🌿 即租即住","fa-home",B11="🌿 近国际学校","fa-school",B11="📌 商业旺铺","fa-store",B11="🌟 海景豪宅","fa-water-ladder",B11="📈 投资优选","fa-chart-line",B11="🏞️ 花园住宅","fa-tree",B11="🌟 2026全新地标","fa-drafting-compass",B11="📈 海外投资优选","fa-globe",B11="🌆 核心地段","fa-city",B11="🔥 限时优惠","fa-fire",B11="✅ 永久产权","fa-certificate",B11="🏅 高回报","fa-medal",B11="🏖️ 度假胜地","fa-umbrella-beach",B11="🏫 学区优选","fa-graduation-cap",B11="🛣️ 交通便利","fa-road",B11="🔑 即买即住","fa-key"),"fa-home")</f>
        <v>fa-home</v>
      </c>
      <c r="O11" s="31" t="str">
        <f aca="false">IF(D11&lt;&gt;"",D11,"")</f>
        <v/>
      </c>
      <c r="P11" s="31" t="str">
        <f aca="false">IF(D11&lt;&gt;"",SUBSTITUTE(SUBSTITUTE(SUBSTITUTE(SUBSTITUTE(SUBSTITUTE(SUBSTITUTE(SUBSTITUTE(SUBSTITUTE(SUBSTITUTE(SUBSTITUTE(D11,"亚庇","Kota Kinabalu"),"公寓","Condo"),"排屋","Terrace"),"别墅","Villa"),"店铺","Shop"),"新山","Johor Bahru"),"市中心","City Centre"),"高级","Premium"),"单位","Unit"),"住宅","Residence"),"")</f>
        <v/>
      </c>
      <c r="Q11" s="31" t="str">
        <f aca="false">IF(D11&lt;&gt;"",SUBSTITUTE(SUBSTITUTE(SUBSTITUTE(SUBSTITUTE(SUBSTITUTE(SUBSTITUTE(SUBSTITUTE(SUBSTITUTE(SUBSTITUTE(SUBSTITUTE(D11,"亚庇","Kota Kinabalu"),"公寓","Kondominium"),"排屋","Rumah Teres"),"别墅","Vila"),"店铺","Kedai"),"新山","Johor Bahru"),"市中心","Pusat Bandar"),"高级","Premium"),"单位","Unit"),"住宅","Kediaman"),"")</f>
        <v/>
      </c>
      <c r="R11" s="31" t="str">
        <f aca="false">IF(D11&lt;&gt;"","📍 "&amp;IF(E11&lt;&gt;"",E11&amp;"房","")&amp;IF(F11&lt;&gt;"",F11&amp;"卫 ","")&amp;IF(G11&lt;&gt;"",G11&amp;" sqft","")&amp;IF(AND(OR(E11&lt;&gt;"",G11&lt;&gt;""),H11&lt;&gt;"")," · ","")&amp;IF(H11&lt;&gt;"",H11,""),"")</f>
        <v/>
      </c>
      <c r="S11" s="31" t="str">
        <f aca="false">IF(D11&lt;&gt;"","📍 "&amp;IF(E11&lt;&gt;"",E11&amp;"BR ","")&amp;IF(F11&lt;&gt;"",F11&amp;"BA ","")&amp;IF(G11&lt;&gt;"",G11&amp;" sqft","")&amp;IF(AND(OR(E11&lt;&gt;"",G11&lt;&gt;""),H11&lt;&gt;"")," · ","")&amp;IF(H11&lt;&gt;"",SUBSTITUTE(SUBSTITUTE(SUBSTITUTE(SUBSTITUTE(SUBSTITUTE(SUBSTITUTE(SUBSTITUTE(SUBSTITUTE(SUBSTITUTE(SUBSTITUTE(H11,"游泳池","Swimming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1" s="31" t="str">
        <f aca="false">IF(D11&lt;&gt;"","📍 "&amp;IF(E11&lt;&gt;"",E11&amp;"Bilik ","")&amp;IF(F11&lt;&gt;"",F11&amp;"Bilik Air ","")&amp;IF(G11&lt;&gt;"",G11&amp;" sqft","")&amp;IF(AND(OR(E11&lt;&gt;"",G11&lt;&gt;""),H11&lt;&gt;"")," · ","")&amp;IF(H11&lt;&gt;"",SUBSTITUTE(SUBSTITUTE(SUBSTITUTE(SUBSTITUTE(SUBSTITUTE(SUBSTITUTE(SUBSTITUTE(SUBSTITUTE(SUBSTITUTE(SUBSTITUTE(H11,"游泳池","Kolam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1" s="32" t="str">
        <f aca="false">IF(OR(I11&lt;&gt;"",J11&lt;&gt;"",K11&lt;&gt;""),"🔒 "&amp;IF(I11&lt;&gt;"",I11,"")&amp;IF(AND(I11&lt;&gt;"",J11&lt;&gt;"")," · ","")&amp;IF(J11&lt;&gt;"",J11,"")&amp;IF(AND(OR(I11&lt;&gt;"",J11&lt;&gt;""),K11&lt;&gt;"")," · ","")&amp;IF(K11&lt;&gt;"",K11,""),"")</f>
        <v/>
      </c>
      <c r="V11" s="31" t="str">
        <f aca="false">IF(L11&lt;&gt;"","💰 起价 RM "&amp;TEXT(L11,"#,##0"),"")</f>
        <v/>
      </c>
      <c r="W11" s="31" t="str">
        <f aca="false">IF(L11&lt;&gt;"","💰 From RM "&amp;TEXT(L11,"#,##0"),"")</f>
        <v/>
      </c>
      <c r="X11" s="31" t="str">
        <f aca="false">IF(L11&lt;&gt;"","💰 Dari RM "&amp;TEXT(L11,"#,##0"),"")</f>
        <v/>
      </c>
      <c r="Y11" s="33" t="str">
        <f aca="false">IF(D11&lt;&gt;"","您好！我想咨询新楼盘：
🏠 "&amp;D11&amp;"
"&amp;IF(E11&lt;&gt;"","🛏 "&amp;E11&amp;"房"&amp;IF(F11&lt;&gt;""," "&amp;F11&amp;"卫","")&amp;"
","")&amp;IF(G11&lt;&gt;"","📐 "&amp;G11&amp;" sqft
","")&amp;IF(H11&lt;&gt;"","🏊 "&amp;H11&amp;"
","")&amp;IF(U11&lt;&gt;"",U11&amp;"
","")&amp;IF(L11&lt;&gt;"","💰 起价 RM "&amp;TEXT(L11,"#,##0")&amp;"
","")&amp;"
请问还有空档吗？谢谢！","")</f>
        <v/>
      </c>
      <c r="Z11" s="33" t="str">
        <f aca="false">IF(D11&lt;&gt;"","Hi! I'd like to make a new launch enquiry:
🏠 "&amp;P11&amp;"
"&amp;IF(E11&lt;&gt;"","🛏 "&amp;E11&amp;"BR"&amp;IF(F11&lt;&gt;""," "&amp;F11&amp;"BA","")&amp;"
","")&amp;IF(G11&lt;&gt;"","📐 "&amp;G11&amp;" sqft
","")&amp;IF(H11&lt;&gt;"","🏊 "&amp;SUBSTITUTE(SUBSTITUTE(SUBSTITUTE(SUBSTITUTE(SUBSTITUTE(SUBSTITUTE(SUBSTITUTE(SUBSTITUTE(SUBSTITUTE(SUBSTITUTE(H11,"游泳池","Swimming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Control"),""),"")&lt;&gt;"",IF(OR(I11&lt;&gt;"",J11&lt;&gt;"",K11&lt;&gt;""),"🔒 "&amp;IF(I11&lt;&gt;"",SUBSTITUTE(SUBSTITUTE(SUBSTITUTE(SUBSTITUTE(SUBSTITUTE(SUBSTITUTE(SUBSTITUTE(SUBSTITUTE(SUBSTITUTE(SUBSTITUTE(SUBSTITUTE(SUBSTITUTE(I11,"24小时保安","24hr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Control"),"")&amp;IF(AND(I11&lt;&gt;"",OR(J11&lt;&gt;"",K11&lt;&gt;""))," · ","")&amp;IF(J11&lt;&gt;"",SUBSTITUTE(SUBSTITUTE(SUBSTITUTE(SUBSTITUTE(SUBSTITUTE(SUBSTITUTE(SUBSTITUTE(SUBSTITUTE(SUBSTITUTE(SUBSTITUTE(SUBSTITUTE(SUBSTITUTE(J11,"24小时保安","24hr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Control"),"")&amp;IF(AND(J11&lt;&gt;"",K11&lt;&gt;"")," · ","")&amp;IF(K11&lt;&gt;"",SUBSTITUTE(SUBSTITUTE(SUBSTITUTE(SUBSTITUTE(SUBSTITUTE(SUBSTITUTE(SUBSTITUTE(SUBSTITUTE(SUBSTITUTE(SUBSTITUTE(SUBSTITUTE(SUBSTITUTE(K11,"24小时保安","24hr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","")&amp;IF(L11&lt;&gt;"","💰 From RM "&amp;TEXT(L11,"#,##0")&amp;"
","")&amp;"
Is this still available? Thank you!","")</f>
        <v/>
      </c>
      <c r="AA11" s="31"/>
      <c r="AB11" s="33" t="str">
        <f aca="false">IF(D11&lt;&gt;"","Helo! Saya ingin membuat pertanyaan projek baru:
🏠 "&amp;Q11&amp;"
"&amp;IF(E11&lt;&gt;"","🛏 "&amp;E11&amp;"Bilik"&amp;IF(F11&lt;&gt;""," "&amp;F11&amp;"Bilik Air","")&amp;"
","")&amp;IF(G11&lt;&gt;"","📐 "&amp;G11&amp;" sqft
","")&amp;IF(H11&lt;&gt;"","🏊 "&amp;SUBSTITUTE(SUBSTITUTE(SUBSTITUTE(SUBSTITUTE(SUBSTITUTE(SUBSTITUTE(SUBSTITUTE(SUBSTITUTE(SUBSTITUTE(SUBSTITUTE(H11,"游泳池","Kolam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Kawalan"),""),"")&lt;&gt;"",IF(OR(I11&lt;&gt;"",J11&lt;&gt;"",K11&lt;&gt;""),"🔒 "&amp;IF(I11&lt;&gt;"",SUBSTITUTE(SUBSTITUTE(SUBSTITUTE(SUBSTITUTE(SUBSTITUTE(SUBSTITUTE(SUBSTITUTE(SUBSTITUTE(SUBSTITUTE(SUBSTITUTE(SUBSTITUTE(SUBSTITUTE(I11,"24小时保安","Pengawal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Kawalan"),"")&amp;IF(AND(I11&lt;&gt;"",OR(J11&lt;&gt;"",K11&lt;&gt;""))," · ","")&amp;IF(J11&lt;&gt;"",SUBSTITUTE(SUBSTITUTE(SUBSTITUTE(SUBSTITUTE(SUBSTITUTE(SUBSTITUTE(SUBSTITUTE(SUBSTITUTE(SUBSTITUTE(SUBSTITUTE(SUBSTITUTE(SUBSTITUTE(J11,"24小时保安","Pengawal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Kawalan"),"")&amp;IF(AND(J11&lt;&gt;"",K11&lt;&gt;"")," · ","")&amp;IF(K11&lt;&gt;"",SUBSTITUTE(SUBSTITUTE(SUBSTITUTE(SUBSTITUTE(SUBSTITUTE(SUBSTITUTE(SUBSTITUTE(SUBSTITUTE(SUBSTITUTE(SUBSTITUTE(SUBSTITUTE(SUBSTITUTE(K11,"24小时保安","Pengawal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","")&amp;IF(L11&lt;&gt;"","💰 Dari RM "&amp;TEXT(L11,"#,##0")&amp;"
","")&amp;"
Adakah masih tersedia? Terima kasih!","")</f>
        <v/>
      </c>
    </row>
    <row r="12" customFormat="false" ht="51.7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29"/>
      <c r="L12" s="28"/>
      <c r="M12" s="30"/>
      <c r="N12" s="31" t="str">
        <f aca="false">IFERROR(ifs(B12="🏢 Condo 公寓","fa-building",B12="🏠 Apartment 单位","fa-home",B12="🌿 即租即住","fa-home",B12="🌿 近国际学校","fa-school",B12="📌 商业旺铺","fa-store",B12="🌟 海景豪宅","fa-water-ladder",B12="📈 投资优选","fa-chart-line",B12="🏞️ 花园住宅","fa-tree",B12="🌟 2026全新地标","fa-drafting-compass",B12="📈 海外投资优选","fa-globe",B12="🌆 核心地段","fa-city",B12="🔥 限时优惠","fa-fire",B12="✅ 永久产权","fa-certificate",B12="🏅 高回报","fa-medal",B12="🏖️ 度假胜地","fa-umbrella-beach",B12="🏫 学区优选","fa-graduation-cap",B12="🛣️ 交通便利","fa-road",B12="🔑 即买即住","fa-key"),"fa-home")</f>
        <v>fa-home</v>
      </c>
      <c r="O12" s="31" t="str">
        <f aca="false">IF(D12&lt;&gt;"",D12,"")</f>
        <v/>
      </c>
      <c r="P12" s="31" t="str">
        <f aca="false">IF(D12&lt;&gt;"",SUBSTITUTE(SUBSTITUTE(SUBSTITUTE(SUBSTITUTE(SUBSTITUTE(SUBSTITUTE(SUBSTITUTE(SUBSTITUTE(SUBSTITUTE(SUBSTITUTE(D12,"亚庇","Kota Kinabalu"),"公寓","Condo"),"排屋","Terrace"),"别墅","Villa"),"店铺","Shop"),"新山","Johor Bahru"),"市中心","City Centre"),"高级","Premium"),"单位","Unit"),"住宅","Residence"),"")</f>
        <v/>
      </c>
      <c r="Q12" s="31" t="str">
        <f aca="false">IF(D12&lt;&gt;"",SUBSTITUTE(SUBSTITUTE(SUBSTITUTE(SUBSTITUTE(SUBSTITUTE(SUBSTITUTE(SUBSTITUTE(SUBSTITUTE(SUBSTITUTE(SUBSTITUTE(D12,"亚庇","Kota Kinabalu"),"公寓","Kondominium"),"排屋","Rumah Teres"),"别墅","Vila"),"店铺","Kedai"),"新山","Johor Bahru"),"市中心","Pusat Bandar"),"高级","Premium"),"单位","Unit"),"住宅","Kediaman"),"")</f>
        <v/>
      </c>
      <c r="R12" s="31" t="str">
        <f aca="false">IF(D12&lt;&gt;"","📍 "&amp;IF(E12&lt;&gt;"",E12&amp;"房","")&amp;IF(F12&lt;&gt;"",F12&amp;"卫 ","")&amp;IF(G12&lt;&gt;"",G12&amp;" sqft","")&amp;IF(AND(OR(E12&lt;&gt;"",G12&lt;&gt;""),H12&lt;&gt;"")," · ","")&amp;IF(H12&lt;&gt;"",H12,""),"")</f>
        <v/>
      </c>
      <c r="S12" s="31" t="str">
        <f aca="false">IF(D12&lt;&gt;"","📍 "&amp;IF(E12&lt;&gt;"",E12&amp;"BR ","")&amp;IF(F12&lt;&gt;"",F12&amp;"BA ","")&amp;IF(G12&lt;&gt;"",G12&amp;" sqft","")&amp;IF(AND(OR(E12&lt;&gt;"",G12&lt;&gt;""),H12&lt;&gt;"")," · ","")&amp;IF(H12&lt;&gt;"",SUBSTITUTE(SUBSTITUTE(SUBSTITUTE(SUBSTITUTE(SUBSTITUTE(SUBSTITUTE(SUBSTITUTE(SUBSTITUTE(SUBSTITUTE(SUBSTITUTE(H12,"游泳池","Swimming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2" s="31" t="str">
        <f aca="false">IF(D12&lt;&gt;"","📍 "&amp;IF(E12&lt;&gt;"",E12&amp;"Bilik ","")&amp;IF(F12&lt;&gt;"",F12&amp;"Bilik Air ","")&amp;IF(G12&lt;&gt;"",G12&amp;" sqft","")&amp;IF(AND(OR(E12&lt;&gt;"",G12&lt;&gt;""),H12&lt;&gt;"")," · ","")&amp;IF(H12&lt;&gt;"",SUBSTITUTE(SUBSTITUTE(SUBSTITUTE(SUBSTITUTE(SUBSTITUTE(SUBSTITUTE(SUBSTITUTE(SUBSTITUTE(SUBSTITUTE(SUBSTITUTE(H12,"游泳池","Kolam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2" s="32" t="str">
        <f aca="false">IF(OR(I12&lt;&gt;"",J12&lt;&gt;"",K12&lt;&gt;""),"🔒 "&amp;IF(I12&lt;&gt;"",I12,"")&amp;IF(AND(I12&lt;&gt;"",J12&lt;&gt;"")," · ","")&amp;IF(J12&lt;&gt;"",J12,"")&amp;IF(AND(OR(I12&lt;&gt;"",J12&lt;&gt;""),K12&lt;&gt;"")," · ","")&amp;IF(K12&lt;&gt;"",K12,""),"")</f>
        <v/>
      </c>
      <c r="V12" s="31" t="str">
        <f aca="false">IF(L12&lt;&gt;"","💰 起价 RM "&amp;TEXT(L12,"#,##0"),"")</f>
        <v/>
      </c>
      <c r="W12" s="31" t="str">
        <f aca="false">IF(L12&lt;&gt;"","💰 From RM "&amp;TEXT(L12,"#,##0"),"")</f>
        <v/>
      </c>
      <c r="X12" s="31" t="str">
        <f aca="false">IF(L12&lt;&gt;"","💰 Dari RM "&amp;TEXT(L12,"#,##0"),"")</f>
        <v/>
      </c>
      <c r="Y12" s="33" t="str">
        <f aca="false">IF(D12&lt;&gt;"","您好！我想咨询新楼盘：
🏠 "&amp;D12&amp;"
"&amp;IF(E12&lt;&gt;"","🛏 "&amp;E12&amp;"房"&amp;IF(F12&lt;&gt;""," "&amp;F12&amp;"卫","")&amp;"
","")&amp;IF(G12&lt;&gt;"","📐 "&amp;G12&amp;" sqft
","")&amp;IF(H12&lt;&gt;"","🏊 "&amp;H12&amp;"
","")&amp;IF(U12&lt;&gt;"",U12&amp;"
","")&amp;IF(L12&lt;&gt;"","💰 起价 RM "&amp;TEXT(L12,"#,##0")&amp;"
","")&amp;"
请问还有空档吗？谢谢！","")</f>
        <v/>
      </c>
      <c r="Z12" s="33" t="str">
        <f aca="false">IF(D12&lt;&gt;"","Hi! I'd like to make a new launch enquiry:
🏠 "&amp;P12&amp;"
"&amp;IF(E12&lt;&gt;"","🛏 "&amp;E12&amp;"BR"&amp;IF(F12&lt;&gt;""," "&amp;F12&amp;"BA","")&amp;"
","")&amp;IF(G12&lt;&gt;"","📐 "&amp;G12&amp;" sqft
","")&amp;IF(H12&lt;&gt;"","🏊 "&amp;SUBSTITUTE(SUBSTITUTE(SUBSTITUTE(SUBSTITUTE(SUBSTITUTE(SUBSTITUTE(SUBSTITUTE(SUBSTITUTE(SUBSTITUTE(SUBSTITUTE(H12,"游泳池","Swimming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Control"),""),"")&lt;&gt;"",IF(OR(I12&lt;&gt;"",J12&lt;&gt;"",K12&lt;&gt;""),"🔒 "&amp;IF(I12&lt;&gt;"",SUBSTITUTE(SUBSTITUTE(SUBSTITUTE(SUBSTITUTE(SUBSTITUTE(SUBSTITUTE(SUBSTITUTE(SUBSTITUTE(SUBSTITUTE(SUBSTITUTE(SUBSTITUTE(SUBSTITUTE(I12,"24小时保安","24hr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Control"),"")&amp;IF(AND(I12&lt;&gt;"",OR(J12&lt;&gt;"",K12&lt;&gt;""))," · ","")&amp;IF(J12&lt;&gt;"",SUBSTITUTE(SUBSTITUTE(SUBSTITUTE(SUBSTITUTE(SUBSTITUTE(SUBSTITUTE(SUBSTITUTE(SUBSTITUTE(SUBSTITUTE(SUBSTITUTE(SUBSTITUTE(SUBSTITUTE(J12,"24小时保安","24hr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Control"),"")&amp;IF(AND(J12&lt;&gt;"",K12&lt;&gt;"")," · ","")&amp;IF(K12&lt;&gt;"",SUBSTITUTE(SUBSTITUTE(SUBSTITUTE(SUBSTITUTE(SUBSTITUTE(SUBSTITUTE(SUBSTITUTE(SUBSTITUTE(SUBSTITUTE(SUBSTITUTE(SUBSTITUTE(SUBSTITUTE(K12,"24小时保安","24hr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","")&amp;IF(L12&lt;&gt;"","💰 From RM "&amp;TEXT(L12,"#,##0")&amp;"
","")&amp;"
Is this still available? Thank you!","")</f>
        <v/>
      </c>
      <c r="AA12" s="31"/>
      <c r="AB12" s="33" t="str">
        <f aca="false">IF(D12&lt;&gt;"","Helo! Saya ingin membuat pertanyaan projek baru:
🏠 "&amp;Q12&amp;"
"&amp;IF(E12&lt;&gt;"","🛏 "&amp;E12&amp;"Bilik"&amp;IF(F12&lt;&gt;""," "&amp;F12&amp;"Bilik Air","")&amp;"
","")&amp;IF(G12&lt;&gt;"","📐 "&amp;G12&amp;" sqft
","")&amp;IF(H12&lt;&gt;"","🏊 "&amp;SUBSTITUTE(SUBSTITUTE(SUBSTITUTE(SUBSTITUTE(SUBSTITUTE(SUBSTITUTE(SUBSTITUTE(SUBSTITUTE(SUBSTITUTE(SUBSTITUTE(H12,"游泳池","Kolam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Kawalan"),""),"")&lt;&gt;"",IF(OR(I12&lt;&gt;"",J12&lt;&gt;"",K12&lt;&gt;""),"🔒 "&amp;IF(I12&lt;&gt;"",SUBSTITUTE(SUBSTITUTE(SUBSTITUTE(SUBSTITUTE(SUBSTITUTE(SUBSTITUTE(SUBSTITUTE(SUBSTITUTE(SUBSTITUTE(SUBSTITUTE(SUBSTITUTE(SUBSTITUTE(I12,"24小时保安","Pengawal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Kawalan"),"")&amp;IF(AND(I12&lt;&gt;"",OR(J12&lt;&gt;"",K12&lt;&gt;""))," · ","")&amp;IF(J12&lt;&gt;"",SUBSTITUTE(SUBSTITUTE(SUBSTITUTE(SUBSTITUTE(SUBSTITUTE(SUBSTITUTE(SUBSTITUTE(SUBSTITUTE(SUBSTITUTE(SUBSTITUTE(SUBSTITUTE(SUBSTITUTE(J12,"24小时保安","Pengawal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Kawalan"),"")&amp;IF(AND(J12&lt;&gt;"",K12&lt;&gt;"")," · ","")&amp;IF(K12&lt;&gt;"",SUBSTITUTE(SUBSTITUTE(SUBSTITUTE(SUBSTITUTE(SUBSTITUTE(SUBSTITUTE(SUBSTITUTE(SUBSTITUTE(SUBSTITUTE(SUBSTITUTE(SUBSTITUTE(SUBSTITUTE(K12,"24小时保安","Pengawal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","")&amp;IF(L12&lt;&gt;"","💰 Dari RM "&amp;TEXT(L12,"#,##0")&amp;"
","")&amp;"
Adakah masih tersedia? Terima kasih!","")</f>
        <v/>
      </c>
    </row>
    <row r="13" customFormat="false" ht="51.7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29"/>
      <c r="J13" s="29"/>
      <c r="K13" s="29"/>
      <c r="L13" s="28"/>
      <c r="M13" s="30"/>
      <c r="N13" s="31" t="str">
        <f aca="false">IFERROR(ifs(B13="🏢 Condo 公寓","fa-building",B13="🏠 Apartment 单位","fa-home",B13="🌿 即租即住","fa-home",B13="🌿 近国际学校","fa-school",B13="📌 商业旺铺","fa-store",B13="🌟 海景豪宅","fa-water-ladder",B13="📈 投资优选","fa-chart-line",B13="🏞️ 花园住宅","fa-tree",B13="🌟 2026全新地标","fa-drafting-compass",B13="📈 海外投资优选","fa-globe",B13="🌆 核心地段","fa-city",B13="🔥 限时优惠","fa-fire",B13="✅ 永久产权","fa-certificate",B13="🏅 高回报","fa-medal",B13="🏖️ 度假胜地","fa-umbrella-beach",B13="🏫 学区优选","fa-graduation-cap",B13="🛣️ 交通便利","fa-road",B13="🔑 即买即住","fa-key"),"fa-home")</f>
        <v>fa-home</v>
      </c>
      <c r="O13" s="31" t="str">
        <f aca="false">IF(D13&lt;&gt;"",D13,"")</f>
        <v/>
      </c>
      <c r="P13" s="31" t="str">
        <f aca="false">IF(D13&lt;&gt;"",SUBSTITUTE(SUBSTITUTE(SUBSTITUTE(SUBSTITUTE(SUBSTITUTE(SUBSTITUTE(SUBSTITUTE(SUBSTITUTE(SUBSTITUTE(SUBSTITUTE(D13,"亚庇","Kota Kinabalu"),"公寓","Condo"),"排屋","Terrace"),"别墅","Villa"),"店铺","Shop"),"新山","Johor Bahru"),"市中心","City Centre"),"高级","Premium"),"单位","Unit"),"住宅","Residence"),"")</f>
        <v/>
      </c>
      <c r="Q13" s="31" t="str">
        <f aca="false">IF(D13&lt;&gt;"",SUBSTITUTE(SUBSTITUTE(SUBSTITUTE(SUBSTITUTE(SUBSTITUTE(SUBSTITUTE(SUBSTITUTE(SUBSTITUTE(SUBSTITUTE(SUBSTITUTE(D13,"亚庇","Kota Kinabalu"),"公寓","Kondominium"),"排屋","Rumah Teres"),"别墅","Vila"),"店铺","Kedai"),"新山","Johor Bahru"),"市中心","Pusat Bandar"),"高级","Premium"),"单位","Unit"),"住宅","Kediaman"),"")</f>
        <v/>
      </c>
      <c r="R13" s="31" t="str">
        <f aca="false">IF(D13&lt;&gt;"","📍 "&amp;IF(E13&lt;&gt;"",E13&amp;"房","")&amp;IF(F13&lt;&gt;"",F13&amp;"卫 ","")&amp;IF(G13&lt;&gt;"",G13&amp;" sqft","")&amp;IF(AND(OR(E13&lt;&gt;"",G13&lt;&gt;""),H13&lt;&gt;"")," · ","")&amp;IF(H13&lt;&gt;"",H13,""),"")</f>
        <v/>
      </c>
      <c r="S13" s="31" t="str">
        <f aca="false">IF(D13&lt;&gt;"","📍 "&amp;IF(E13&lt;&gt;"",E13&amp;"BR ","")&amp;IF(F13&lt;&gt;"",F13&amp;"BA ","")&amp;IF(G13&lt;&gt;"",G13&amp;" sqft","")&amp;IF(AND(OR(E13&lt;&gt;"",G13&lt;&gt;""),H13&lt;&gt;"")," · ","")&amp;IF(H13&lt;&gt;"",SUBSTITUTE(SUBSTITUTE(SUBSTITUTE(SUBSTITUTE(SUBSTITUTE(SUBSTITUTE(SUBSTITUTE(SUBSTITUTE(SUBSTITUTE(SUBSTITUTE(H13,"游泳池","Swimming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3" s="31" t="str">
        <f aca="false">IF(D13&lt;&gt;"","📍 "&amp;IF(E13&lt;&gt;"",E13&amp;"Bilik ","")&amp;IF(F13&lt;&gt;"",F13&amp;"Bilik Air ","")&amp;IF(G13&lt;&gt;"",G13&amp;" sqft","")&amp;IF(AND(OR(E13&lt;&gt;"",G13&lt;&gt;""),H13&lt;&gt;"")," · ","")&amp;IF(H13&lt;&gt;"",SUBSTITUTE(SUBSTITUTE(SUBSTITUTE(SUBSTITUTE(SUBSTITUTE(SUBSTITUTE(SUBSTITUTE(SUBSTITUTE(SUBSTITUTE(SUBSTITUTE(H13,"游泳池","Kolam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3" s="32" t="str">
        <f aca="false">IF(OR(I13&lt;&gt;"",J13&lt;&gt;"",K13&lt;&gt;""),"🔒 "&amp;IF(I13&lt;&gt;"",I13,"")&amp;IF(AND(I13&lt;&gt;"",J13&lt;&gt;"")," · ","")&amp;IF(J13&lt;&gt;"",J13,"")&amp;IF(AND(OR(I13&lt;&gt;"",J13&lt;&gt;""),K13&lt;&gt;"")," · ","")&amp;IF(K13&lt;&gt;"",K13,""),"")</f>
        <v/>
      </c>
      <c r="V13" s="31" t="str">
        <f aca="false">IF(L13&lt;&gt;"","💰 起价 RM "&amp;TEXT(L13,"#,##0"),"")</f>
        <v/>
      </c>
      <c r="W13" s="31" t="str">
        <f aca="false">IF(L13&lt;&gt;"","💰 From RM "&amp;TEXT(L13,"#,##0"),"")</f>
        <v/>
      </c>
      <c r="X13" s="31" t="str">
        <f aca="false">IF(L13&lt;&gt;"","💰 Dari RM "&amp;TEXT(L13,"#,##0"),"")</f>
        <v/>
      </c>
      <c r="Y13" s="33" t="str">
        <f aca="false">IF(D13&lt;&gt;"","您好！我想咨询新楼盘：
🏠 "&amp;D13&amp;"
"&amp;IF(E13&lt;&gt;"","🛏 "&amp;E13&amp;"房"&amp;IF(F13&lt;&gt;""," "&amp;F13&amp;"卫","")&amp;"
","")&amp;IF(G13&lt;&gt;"","📐 "&amp;G13&amp;" sqft
","")&amp;IF(H13&lt;&gt;"","🏊 "&amp;H13&amp;"
","")&amp;IF(U13&lt;&gt;"",U13&amp;"
","")&amp;IF(L13&lt;&gt;"","💰 起价 RM "&amp;TEXT(L13,"#,##0")&amp;"
","")&amp;"
请问还有空档吗？谢谢！","")</f>
        <v/>
      </c>
      <c r="Z13" s="33" t="str">
        <f aca="false">IF(D13&lt;&gt;"","Hi! I'd like to make a new launch enquiry:
🏠 "&amp;P13&amp;"
"&amp;IF(E13&lt;&gt;"","🛏 "&amp;E13&amp;"BR"&amp;IF(F13&lt;&gt;""," "&amp;F13&amp;"BA","")&amp;"
","")&amp;IF(G13&lt;&gt;"","📐 "&amp;G13&amp;" sqft
","")&amp;IF(H13&lt;&gt;"","🏊 "&amp;SUBSTITUTE(SUBSTITUTE(SUBSTITUTE(SUBSTITUTE(SUBSTITUTE(SUBSTITUTE(SUBSTITUTE(SUBSTITUTE(SUBSTITUTE(SUBSTITUTE(H13,"游泳池","Swimming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Control"),""),"")&lt;&gt;"",IF(OR(I13&lt;&gt;"",J13&lt;&gt;"",K13&lt;&gt;""),"🔒 "&amp;IF(I13&lt;&gt;"",SUBSTITUTE(SUBSTITUTE(SUBSTITUTE(SUBSTITUTE(SUBSTITUTE(SUBSTITUTE(SUBSTITUTE(SUBSTITUTE(SUBSTITUTE(SUBSTITUTE(SUBSTITUTE(SUBSTITUTE(I13,"24小时保安","24hr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Control"),"")&amp;IF(AND(I13&lt;&gt;"",OR(J13&lt;&gt;"",K13&lt;&gt;""))," · ","")&amp;IF(J13&lt;&gt;"",SUBSTITUTE(SUBSTITUTE(SUBSTITUTE(SUBSTITUTE(SUBSTITUTE(SUBSTITUTE(SUBSTITUTE(SUBSTITUTE(SUBSTITUTE(SUBSTITUTE(SUBSTITUTE(SUBSTITUTE(J13,"24小时保安","24hr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Control"),"")&amp;IF(AND(J13&lt;&gt;"",K13&lt;&gt;"")," · ","")&amp;IF(K13&lt;&gt;"",SUBSTITUTE(SUBSTITUTE(SUBSTITUTE(SUBSTITUTE(SUBSTITUTE(SUBSTITUTE(SUBSTITUTE(SUBSTITUTE(SUBSTITUTE(SUBSTITUTE(SUBSTITUTE(SUBSTITUTE(K13,"24小时保安","24hr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","")&amp;IF(L13&lt;&gt;"","💰 From RM "&amp;TEXT(L13,"#,##0")&amp;"
","")&amp;"
Is this still available? Thank you!","")</f>
        <v/>
      </c>
      <c r="AA13" s="31"/>
      <c r="AB13" s="33" t="str">
        <f aca="false">IF(D13&lt;&gt;"","Helo! Saya ingin membuat pertanyaan projek baru:
🏠 "&amp;Q13&amp;"
"&amp;IF(E13&lt;&gt;"","🛏 "&amp;E13&amp;"Bilik"&amp;IF(F13&lt;&gt;""," "&amp;F13&amp;"Bilik Air","")&amp;"
","")&amp;IF(G13&lt;&gt;"","📐 "&amp;G13&amp;" sqft
","")&amp;IF(H13&lt;&gt;"","🏊 "&amp;SUBSTITUTE(SUBSTITUTE(SUBSTITUTE(SUBSTITUTE(SUBSTITUTE(SUBSTITUTE(SUBSTITUTE(SUBSTITUTE(SUBSTITUTE(SUBSTITUTE(H13,"游泳池","Kolam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Kawalan"),""),"")&lt;&gt;"",IF(OR(I13&lt;&gt;"",J13&lt;&gt;"",K13&lt;&gt;""),"🔒 "&amp;IF(I13&lt;&gt;"",SUBSTITUTE(SUBSTITUTE(SUBSTITUTE(SUBSTITUTE(SUBSTITUTE(SUBSTITUTE(SUBSTITUTE(SUBSTITUTE(SUBSTITUTE(SUBSTITUTE(SUBSTITUTE(SUBSTITUTE(I13,"24小时保安","Pengawal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Kawalan"),"")&amp;IF(AND(I13&lt;&gt;"",OR(J13&lt;&gt;"",K13&lt;&gt;""))," · ","")&amp;IF(J13&lt;&gt;"",SUBSTITUTE(SUBSTITUTE(SUBSTITUTE(SUBSTITUTE(SUBSTITUTE(SUBSTITUTE(SUBSTITUTE(SUBSTITUTE(SUBSTITUTE(SUBSTITUTE(SUBSTITUTE(SUBSTITUTE(J13,"24小时保安","Pengawal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Kawalan"),"")&amp;IF(AND(J13&lt;&gt;"",K13&lt;&gt;"")," · ","")&amp;IF(K13&lt;&gt;"",SUBSTITUTE(SUBSTITUTE(SUBSTITUTE(SUBSTITUTE(SUBSTITUTE(SUBSTITUTE(SUBSTITUTE(SUBSTITUTE(SUBSTITUTE(SUBSTITUTE(SUBSTITUTE(SUBSTITUTE(K13,"24小时保安","Pengawal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","")&amp;IF(L13&lt;&gt;"","💰 Dari RM "&amp;TEXT(L13,"#,##0")&amp;"
","")&amp;"
Adakah masih tersedia? Terima kasih!","")</f>
        <v/>
      </c>
    </row>
    <row r="14" customFormat="false" ht="51.7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  <c r="L14" s="28"/>
      <c r="M14" s="30"/>
      <c r="N14" s="31" t="str">
        <f aca="false">IFERROR(ifs(B14="🏢 Condo 公寓","fa-building",B14="🏠 Apartment 单位","fa-home",B14="🌿 即租即住","fa-home",B14="🌿 近国际学校","fa-school",B14="📌 商业旺铺","fa-store",B14="🌟 海景豪宅","fa-water-ladder",B14="📈 投资优选","fa-chart-line",B14="🏞️ 花园住宅","fa-tree",B14="🌟 2026全新地标","fa-drafting-compass",B14="📈 海外投资优选","fa-globe",B14="🌆 核心地段","fa-city",B14="🔥 限时优惠","fa-fire",B14="✅ 永久产权","fa-certificate",B14="🏅 高回报","fa-medal",B14="🏖️ 度假胜地","fa-umbrella-beach",B14="🏫 学区优选","fa-graduation-cap",B14="🛣️ 交通便利","fa-road",B14="🔑 即买即住","fa-key"),"fa-home")</f>
        <v>fa-home</v>
      </c>
      <c r="O14" s="31" t="str">
        <f aca="false">IF(D14&lt;&gt;"",D14,"")</f>
        <v/>
      </c>
      <c r="P14" s="31" t="str">
        <f aca="false">IF(D14&lt;&gt;"",SUBSTITUTE(SUBSTITUTE(SUBSTITUTE(SUBSTITUTE(SUBSTITUTE(SUBSTITUTE(SUBSTITUTE(SUBSTITUTE(SUBSTITUTE(SUBSTITUTE(D14,"亚庇","Kota Kinabalu"),"公寓","Condo"),"排屋","Terrace"),"别墅","Villa"),"店铺","Shop"),"新山","Johor Bahru"),"市中心","City Centre"),"高级","Premium"),"单位","Unit"),"住宅","Residence"),"")</f>
        <v/>
      </c>
      <c r="Q14" s="31" t="str">
        <f aca="false">IF(D14&lt;&gt;"",SUBSTITUTE(SUBSTITUTE(SUBSTITUTE(SUBSTITUTE(SUBSTITUTE(SUBSTITUTE(SUBSTITUTE(SUBSTITUTE(SUBSTITUTE(SUBSTITUTE(D14,"亚庇","Kota Kinabalu"),"公寓","Kondominium"),"排屋","Rumah Teres"),"别墅","Vila"),"店铺","Kedai"),"新山","Johor Bahru"),"市中心","Pusat Bandar"),"高级","Premium"),"单位","Unit"),"住宅","Kediaman"),"")</f>
        <v/>
      </c>
      <c r="R14" s="31" t="str">
        <f aca="false">IF(D14&lt;&gt;"","📍 "&amp;IF(E14&lt;&gt;"",E14&amp;"房","")&amp;IF(F14&lt;&gt;"",F14&amp;"卫 ","")&amp;IF(G14&lt;&gt;"",G14&amp;" sqft","")&amp;IF(AND(OR(E14&lt;&gt;"",G14&lt;&gt;""),H14&lt;&gt;"")," · ","")&amp;IF(H14&lt;&gt;"",H14,""),"")</f>
        <v/>
      </c>
      <c r="S14" s="31" t="str">
        <f aca="false">IF(D14&lt;&gt;"","📍 "&amp;IF(E14&lt;&gt;"",E14&amp;"BR ","")&amp;IF(F14&lt;&gt;"",F14&amp;"BA ","")&amp;IF(G14&lt;&gt;"",G14&amp;" sqft","")&amp;IF(AND(OR(E14&lt;&gt;"",G14&lt;&gt;""),H14&lt;&gt;"")," · ","")&amp;IF(H14&lt;&gt;"",SUBSTITUTE(SUBSTITUTE(SUBSTITUTE(SUBSTITUTE(SUBSTITUTE(SUBSTITUTE(SUBSTITUTE(SUBSTITUTE(SUBSTITUTE(SUBSTITUTE(H14,"游泳池","Swimming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4" s="31" t="str">
        <f aca="false">IF(D14&lt;&gt;"","📍 "&amp;IF(E14&lt;&gt;"",E14&amp;"Bilik ","")&amp;IF(F14&lt;&gt;"",F14&amp;"Bilik Air ","")&amp;IF(G14&lt;&gt;"",G14&amp;" sqft","")&amp;IF(AND(OR(E14&lt;&gt;"",G14&lt;&gt;""),H14&lt;&gt;"")," · ","")&amp;IF(H14&lt;&gt;"",SUBSTITUTE(SUBSTITUTE(SUBSTITUTE(SUBSTITUTE(SUBSTITUTE(SUBSTITUTE(SUBSTITUTE(SUBSTITUTE(SUBSTITUTE(SUBSTITUTE(H14,"游泳池","Kolam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4" s="32" t="str">
        <f aca="false">IF(OR(I14&lt;&gt;"",J14&lt;&gt;"",K14&lt;&gt;""),"🔒 "&amp;IF(I14&lt;&gt;"",I14,"")&amp;IF(AND(I14&lt;&gt;"",J14&lt;&gt;"")," · ","")&amp;IF(J14&lt;&gt;"",J14,"")&amp;IF(AND(OR(I14&lt;&gt;"",J14&lt;&gt;""),K14&lt;&gt;"")," · ","")&amp;IF(K14&lt;&gt;"",K14,""),"")</f>
        <v/>
      </c>
      <c r="V14" s="31" t="str">
        <f aca="false">IF(L14&lt;&gt;"","💰 起价 RM "&amp;TEXT(L14,"#,##0"),"")</f>
        <v/>
      </c>
      <c r="W14" s="31" t="str">
        <f aca="false">IF(L14&lt;&gt;"","💰 From RM "&amp;TEXT(L14,"#,##0"),"")</f>
        <v/>
      </c>
      <c r="X14" s="31" t="str">
        <f aca="false">IF(L14&lt;&gt;"","💰 Dari RM "&amp;TEXT(L14,"#,##0"),"")</f>
        <v/>
      </c>
      <c r="Y14" s="33" t="str">
        <f aca="false">IF(D14&lt;&gt;"","您好！我想咨询新楼盘：
🏠 "&amp;D14&amp;"
"&amp;IF(E14&lt;&gt;"","🛏 "&amp;E14&amp;"房"&amp;IF(F14&lt;&gt;""," "&amp;F14&amp;"卫","")&amp;"
","")&amp;IF(G14&lt;&gt;"","📐 "&amp;G14&amp;" sqft
","")&amp;IF(H14&lt;&gt;"","🏊 "&amp;H14&amp;"
","")&amp;IF(U14&lt;&gt;"",U14&amp;"
","")&amp;IF(L14&lt;&gt;"","💰 起价 RM "&amp;TEXT(L14,"#,##0")&amp;"
","")&amp;"
请问还有空档吗？谢谢！","")</f>
        <v/>
      </c>
      <c r="Z14" s="33" t="str">
        <f aca="false">IF(D14&lt;&gt;"","Hi! I'd like to make a new launch enquiry:
🏠 "&amp;P14&amp;"
"&amp;IF(E14&lt;&gt;"","🛏 "&amp;E14&amp;"BR"&amp;IF(F14&lt;&gt;""," "&amp;F14&amp;"BA","")&amp;"
","")&amp;IF(G14&lt;&gt;"","📐 "&amp;G14&amp;" sqft
","")&amp;IF(H14&lt;&gt;"","🏊 "&amp;SUBSTITUTE(SUBSTITUTE(SUBSTITUTE(SUBSTITUTE(SUBSTITUTE(SUBSTITUTE(SUBSTITUTE(SUBSTITUTE(SUBSTITUTE(SUBSTITUTE(H14,"游泳池","Swimming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Control"),""),"")&lt;&gt;"",IF(OR(I14&lt;&gt;"",J14&lt;&gt;"",K14&lt;&gt;""),"🔒 "&amp;IF(I14&lt;&gt;"",SUBSTITUTE(SUBSTITUTE(SUBSTITUTE(SUBSTITUTE(SUBSTITUTE(SUBSTITUTE(SUBSTITUTE(SUBSTITUTE(SUBSTITUTE(SUBSTITUTE(SUBSTITUTE(SUBSTITUTE(I14,"24小时保安","24hr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Control"),"")&amp;IF(AND(I14&lt;&gt;"",OR(J14&lt;&gt;"",K14&lt;&gt;""))," · ","")&amp;IF(J14&lt;&gt;"",SUBSTITUTE(SUBSTITUTE(SUBSTITUTE(SUBSTITUTE(SUBSTITUTE(SUBSTITUTE(SUBSTITUTE(SUBSTITUTE(SUBSTITUTE(SUBSTITUTE(SUBSTITUTE(SUBSTITUTE(J14,"24小时保安","24hr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Control"),"")&amp;IF(AND(J14&lt;&gt;"",K14&lt;&gt;"")," · ","")&amp;IF(K14&lt;&gt;"",SUBSTITUTE(SUBSTITUTE(SUBSTITUTE(SUBSTITUTE(SUBSTITUTE(SUBSTITUTE(SUBSTITUTE(SUBSTITUTE(SUBSTITUTE(SUBSTITUTE(SUBSTITUTE(SUBSTITUTE(K14,"24小时保安","24hr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","")&amp;IF(L14&lt;&gt;"","💰 From RM "&amp;TEXT(L14,"#,##0")&amp;"
","")&amp;"
Is this still available? Thank you!","")</f>
        <v/>
      </c>
      <c r="AA14" s="31"/>
      <c r="AB14" s="33" t="str">
        <f aca="false">IF(D14&lt;&gt;"","Helo! Saya ingin membuat pertanyaan projek baru:
🏠 "&amp;Q14&amp;"
"&amp;IF(E14&lt;&gt;"","🛏 "&amp;E14&amp;"Bilik"&amp;IF(F14&lt;&gt;""," "&amp;F14&amp;"Bilik Air","")&amp;"
","")&amp;IF(G14&lt;&gt;"","📐 "&amp;G14&amp;" sqft
","")&amp;IF(H14&lt;&gt;"","🏊 "&amp;SUBSTITUTE(SUBSTITUTE(SUBSTITUTE(SUBSTITUTE(SUBSTITUTE(SUBSTITUTE(SUBSTITUTE(SUBSTITUTE(SUBSTITUTE(SUBSTITUTE(H14,"游泳池","Kolam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Kawalan"),""),"")&lt;&gt;"",IF(OR(I14&lt;&gt;"",J14&lt;&gt;"",K14&lt;&gt;""),"🔒 "&amp;IF(I14&lt;&gt;"",SUBSTITUTE(SUBSTITUTE(SUBSTITUTE(SUBSTITUTE(SUBSTITUTE(SUBSTITUTE(SUBSTITUTE(SUBSTITUTE(SUBSTITUTE(SUBSTITUTE(SUBSTITUTE(SUBSTITUTE(I14,"24小时保安","Pengawal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Kawalan"),"")&amp;IF(AND(I14&lt;&gt;"",OR(J14&lt;&gt;"",K14&lt;&gt;""))," · ","")&amp;IF(J14&lt;&gt;"",SUBSTITUTE(SUBSTITUTE(SUBSTITUTE(SUBSTITUTE(SUBSTITUTE(SUBSTITUTE(SUBSTITUTE(SUBSTITUTE(SUBSTITUTE(SUBSTITUTE(SUBSTITUTE(SUBSTITUTE(J14,"24小时保安","Pengawal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Kawalan"),"")&amp;IF(AND(J14&lt;&gt;"",K14&lt;&gt;"")," · ","")&amp;IF(K14&lt;&gt;"",SUBSTITUTE(SUBSTITUTE(SUBSTITUTE(SUBSTITUTE(SUBSTITUTE(SUBSTITUTE(SUBSTITUTE(SUBSTITUTE(SUBSTITUTE(SUBSTITUTE(SUBSTITUTE(SUBSTITUTE(K14,"24小时保安","Pengawal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","")&amp;IF(L14&lt;&gt;"","💰 Dari RM "&amp;TEXT(L14,"#,##0")&amp;"
","")&amp;"
Adakah masih tersedia? Terima kasih!","")</f>
        <v/>
      </c>
    </row>
    <row r="15" customFormat="false" ht="51.7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9"/>
      <c r="J15" s="29"/>
      <c r="K15" s="29"/>
      <c r="L15" s="28"/>
      <c r="M15" s="30"/>
      <c r="N15" s="31" t="str">
        <f aca="false">IFERROR(ifs(B15="🏢 Condo 公寓","fa-building",B15="🏠 Apartment 单位","fa-home",B15="🌿 即租即住","fa-home",B15="🌿 近国际学校","fa-school",B15="📌 商业旺铺","fa-store",B15="🌟 海景豪宅","fa-water-ladder",B15="📈 投资优选","fa-chart-line",B15="🏞️ 花园住宅","fa-tree",B15="🌟 2026全新地标","fa-drafting-compass",B15="📈 海外投资优选","fa-globe",B15="🌆 核心地段","fa-city",B15="🔥 限时优惠","fa-fire",B15="✅ 永久产权","fa-certificate",B15="🏅 高回报","fa-medal",B15="🏖️ 度假胜地","fa-umbrella-beach",B15="🏫 学区优选","fa-graduation-cap",B15="🛣️ 交通便利","fa-road",B15="🔑 即买即住","fa-key"),"fa-home")</f>
        <v>fa-home</v>
      </c>
      <c r="O15" s="31" t="str">
        <f aca="false">IF(D15&lt;&gt;"",D15,"")</f>
        <v/>
      </c>
      <c r="P15" s="31" t="str">
        <f aca="false">IF(D15&lt;&gt;"",SUBSTITUTE(SUBSTITUTE(SUBSTITUTE(SUBSTITUTE(SUBSTITUTE(SUBSTITUTE(SUBSTITUTE(SUBSTITUTE(SUBSTITUTE(SUBSTITUTE(D15,"亚庇","Kota Kinabalu"),"公寓","Condo"),"排屋","Terrace"),"别墅","Villa"),"店铺","Shop"),"新山","Johor Bahru"),"市中心","City Centre"),"高级","Premium"),"单位","Unit"),"住宅","Residence"),"")</f>
        <v/>
      </c>
      <c r="Q15" s="31" t="str">
        <f aca="false">IF(D15&lt;&gt;"",SUBSTITUTE(SUBSTITUTE(SUBSTITUTE(SUBSTITUTE(SUBSTITUTE(SUBSTITUTE(SUBSTITUTE(SUBSTITUTE(SUBSTITUTE(SUBSTITUTE(D15,"亚庇","Kota Kinabalu"),"公寓","Kondominium"),"排屋","Rumah Teres"),"别墅","Vila"),"店铺","Kedai"),"新山","Johor Bahru"),"市中心","Pusat Bandar"),"高级","Premium"),"单位","Unit"),"住宅","Kediaman"),"")</f>
        <v/>
      </c>
      <c r="R15" s="31" t="str">
        <f aca="false">IF(D15&lt;&gt;"","📍 "&amp;IF(E15&lt;&gt;"",E15&amp;"房","")&amp;IF(F15&lt;&gt;"",F15&amp;"卫 ","")&amp;IF(G15&lt;&gt;"",G15&amp;" sqft","")&amp;IF(AND(OR(E15&lt;&gt;"",G15&lt;&gt;""),H15&lt;&gt;"")," · ","")&amp;IF(H15&lt;&gt;"",H15,""),"")</f>
        <v/>
      </c>
      <c r="S15" s="31" t="str">
        <f aca="false">IF(D15&lt;&gt;"","📍 "&amp;IF(E15&lt;&gt;"",E15&amp;"BR ","")&amp;IF(F15&lt;&gt;"",F15&amp;"BA ","")&amp;IF(G15&lt;&gt;"",G15&amp;" sqft","")&amp;IF(AND(OR(E15&lt;&gt;"",G15&lt;&gt;""),H15&lt;&gt;"")," · ","")&amp;IF(H15&lt;&gt;"",SUBSTITUTE(SUBSTITUTE(SUBSTITUTE(SUBSTITUTE(SUBSTITUTE(SUBSTITUTE(SUBSTITUTE(SUBSTITUTE(SUBSTITUTE(SUBSTITUTE(H15,"游泳池","Swimming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5" s="31" t="str">
        <f aca="false">IF(D15&lt;&gt;"","📍 "&amp;IF(E15&lt;&gt;"",E15&amp;"Bilik ","")&amp;IF(F15&lt;&gt;"",F15&amp;"Bilik Air ","")&amp;IF(G15&lt;&gt;"",G15&amp;" sqft","")&amp;IF(AND(OR(E15&lt;&gt;"",G15&lt;&gt;""),H15&lt;&gt;"")," · ","")&amp;IF(H15&lt;&gt;"",SUBSTITUTE(SUBSTITUTE(SUBSTITUTE(SUBSTITUTE(SUBSTITUTE(SUBSTITUTE(SUBSTITUTE(SUBSTITUTE(SUBSTITUTE(SUBSTITUTE(H15,"游泳池","Kolam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5" s="32" t="str">
        <f aca="false">IF(OR(I15&lt;&gt;"",J15&lt;&gt;"",K15&lt;&gt;""),"🔒 "&amp;IF(I15&lt;&gt;"",I15,"")&amp;IF(AND(I15&lt;&gt;"",J15&lt;&gt;"")," · ","")&amp;IF(J15&lt;&gt;"",J15,"")&amp;IF(AND(OR(I15&lt;&gt;"",J15&lt;&gt;""),K15&lt;&gt;"")," · ","")&amp;IF(K15&lt;&gt;"",K15,""),"")</f>
        <v/>
      </c>
      <c r="V15" s="31" t="str">
        <f aca="false">IF(L15&lt;&gt;"","💰 起价 RM "&amp;TEXT(L15,"#,##0"),"")</f>
        <v/>
      </c>
      <c r="W15" s="31" t="str">
        <f aca="false">IF(L15&lt;&gt;"","💰 From RM "&amp;TEXT(L15,"#,##0"),"")</f>
        <v/>
      </c>
      <c r="X15" s="31" t="str">
        <f aca="false">IF(L15&lt;&gt;"","💰 Dari RM "&amp;TEXT(L15,"#,##0"),"")</f>
        <v/>
      </c>
      <c r="Y15" s="33" t="str">
        <f aca="false">IF(D15&lt;&gt;"","您好！我想咨询新楼盘：
🏠 "&amp;D15&amp;"
"&amp;IF(E15&lt;&gt;"","🛏 "&amp;E15&amp;"房"&amp;IF(F15&lt;&gt;""," "&amp;F15&amp;"卫","")&amp;"
","")&amp;IF(G15&lt;&gt;"","📐 "&amp;G15&amp;" sqft
","")&amp;IF(H15&lt;&gt;"","🏊 "&amp;H15&amp;"
","")&amp;IF(U15&lt;&gt;"",U15&amp;"
","")&amp;IF(L15&lt;&gt;"","💰 起价 RM "&amp;TEXT(L15,"#,##0")&amp;"
","")&amp;"
请问还有空档吗？谢谢！","")</f>
        <v/>
      </c>
      <c r="Z15" s="33" t="str">
        <f aca="false">IF(D15&lt;&gt;"","Hi! I'd like to make a new launch enquiry:
🏠 "&amp;P15&amp;"
"&amp;IF(E15&lt;&gt;"","🛏 "&amp;E15&amp;"BR"&amp;IF(F15&lt;&gt;""," "&amp;F15&amp;"BA","")&amp;"
","")&amp;IF(G15&lt;&gt;"","📐 "&amp;G15&amp;" sqft
","")&amp;IF(H15&lt;&gt;"","🏊 "&amp;SUBSTITUTE(SUBSTITUTE(SUBSTITUTE(SUBSTITUTE(SUBSTITUTE(SUBSTITUTE(SUBSTITUTE(SUBSTITUTE(SUBSTITUTE(SUBSTITUTE(H15,"游泳池","Swimming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Control"),""),"")&lt;&gt;"",IF(OR(I15&lt;&gt;"",J15&lt;&gt;"",K15&lt;&gt;""),"🔒 "&amp;IF(I15&lt;&gt;"",SUBSTITUTE(SUBSTITUTE(SUBSTITUTE(SUBSTITUTE(SUBSTITUTE(SUBSTITUTE(SUBSTITUTE(SUBSTITUTE(SUBSTITUTE(SUBSTITUTE(SUBSTITUTE(SUBSTITUTE(I15,"24小时保安","24hr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Control"),"")&amp;IF(AND(I15&lt;&gt;"",OR(J15&lt;&gt;"",K15&lt;&gt;""))," · ","")&amp;IF(J15&lt;&gt;"",SUBSTITUTE(SUBSTITUTE(SUBSTITUTE(SUBSTITUTE(SUBSTITUTE(SUBSTITUTE(SUBSTITUTE(SUBSTITUTE(SUBSTITUTE(SUBSTITUTE(SUBSTITUTE(SUBSTITUTE(J15,"24小时保安","24hr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Control"),"")&amp;IF(AND(J15&lt;&gt;"",K15&lt;&gt;"")," · ","")&amp;IF(K15&lt;&gt;"",SUBSTITUTE(SUBSTITUTE(SUBSTITUTE(SUBSTITUTE(SUBSTITUTE(SUBSTITUTE(SUBSTITUTE(SUBSTITUTE(SUBSTITUTE(SUBSTITUTE(SUBSTITUTE(SUBSTITUTE(K15,"24小时保安","24hr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","")&amp;IF(L15&lt;&gt;"","💰 From RM "&amp;TEXT(L15,"#,##0")&amp;"
","")&amp;"
Is this still available? Thank you!","")</f>
        <v/>
      </c>
      <c r="AA15" s="31"/>
      <c r="AB15" s="33" t="str">
        <f aca="false">IF(D15&lt;&gt;"","Helo! Saya ingin membuat pertanyaan projek baru:
🏠 "&amp;Q15&amp;"
"&amp;IF(E15&lt;&gt;"","🛏 "&amp;E15&amp;"Bilik"&amp;IF(F15&lt;&gt;""," "&amp;F15&amp;"Bilik Air","")&amp;"
","")&amp;IF(G15&lt;&gt;"","📐 "&amp;G15&amp;" sqft
","")&amp;IF(H15&lt;&gt;"","🏊 "&amp;SUBSTITUTE(SUBSTITUTE(SUBSTITUTE(SUBSTITUTE(SUBSTITUTE(SUBSTITUTE(SUBSTITUTE(SUBSTITUTE(SUBSTITUTE(SUBSTITUTE(H15,"游泳池","Kolam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Kawalan"),""),"")&lt;&gt;"",IF(OR(I15&lt;&gt;"",J15&lt;&gt;"",K15&lt;&gt;""),"🔒 "&amp;IF(I15&lt;&gt;"",SUBSTITUTE(SUBSTITUTE(SUBSTITUTE(SUBSTITUTE(SUBSTITUTE(SUBSTITUTE(SUBSTITUTE(SUBSTITUTE(SUBSTITUTE(SUBSTITUTE(SUBSTITUTE(SUBSTITUTE(I15,"24小时保安","Pengawal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Kawalan"),"")&amp;IF(AND(I15&lt;&gt;"",OR(J15&lt;&gt;"",K15&lt;&gt;""))," · ","")&amp;IF(J15&lt;&gt;"",SUBSTITUTE(SUBSTITUTE(SUBSTITUTE(SUBSTITUTE(SUBSTITUTE(SUBSTITUTE(SUBSTITUTE(SUBSTITUTE(SUBSTITUTE(SUBSTITUTE(SUBSTITUTE(SUBSTITUTE(J15,"24小时保安","Pengawal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Kawalan"),"")&amp;IF(AND(J15&lt;&gt;"",K15&lt;&gt;"")," · ","")&amp;IF(K15&lt;&gt;"",SUBSTITUTE(SUBSTITUTE(SUBSTITUTE(SUBSTITUTE(SUBSTITUTE(SUBSTITUTE(SUBSTITUTE(SUBSTITUTE(SUBSTITUTE(SUBSTITUTE(SUBSTITUTE(SUBSTITUTE(K15,"24小时保安","Pengawal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","")&amp;IF(L15&lt;&gt;"","💰 Dari RM "&amp;TEXT(L15,"#,##0")&amp;"
","")&amp;"
Adakah masih tersedia? Terima kasih!","")</f>
        <v/>
      </c>
    </row>
    <row r="16" customFormat="false" ht="51.7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9"/>
      <c r="J16" s="29"/>
      <c r="K16" s="29"/>
      <c r="L16" s="28"/>
      <c r="M16" s="30"/>
      <c r="N16" s="31" t="str">
        <f aca="false">IFERROR(ifs(B16="🏢 Condo 公寓","fa-building",B16="🏠 Apartment 单位","fa-home",B16="🌿 即租即住","fa-home",B16="🌿 近国际学校","fa-school",B16="📌 商业旺铺","fa-store",B16="🌟 海景豪宅","fa-water-ladder",B16="📈 投资优选","fa-chart-line",B16="🏞️ 花园住宅","fa-tree",B16="🌟 2026全新地标","fa-drafting-compass",B16="📈 海外投资优选","fa-globe",B16="🌆 核心地段","fa-city",B16="🔥 限时优惠","fa-fire",B16="✅ 永久产权","fa-certificate",B16="🏅 高回报","fa-medal",B16="🏖️ 度假胜地","fa-umbrella-beach",B16="🏫 学区优选","fa-graduation-cap",B16="🛣️ 交通便利","fa-road",B16="🔑 即买即住","fa-key"),"fa-home")</f>
        <v>fa-home</v>
      </c>
      <c r="O16" s="31" t="str">
        <f aca="false">IF(D16&lt;&gt;"",D16,"")</f>
        <v/>
      </c>
      <c r="P16" s="31" t="str">
        <f aca="false">IF(D16&lt;&gt;"",SUBSTITUTE(SUBSTITUTE(SUBSTITUTE(SUBSTITUTE(SUBSTITUTE(SUBSTITUTE(SUBSTITUTE(SUBSTITUTE(SUBSTITUTE(SUBSTITUTE(D16,"亚庇","Kota Kinabalu"),"公寓","Condo"),"排屋","Terrace"),"别墅","Villa"),"店铺","Shop"),"新山","Johor Bahru"),"市中心","City Centre"),"高级","Premium"),"单位","Unit"),"住宅","Residence"),"")</f>
        <v/>
      </c>
      <c r="Q16" s="31" t="str">
        <f aca="false">IF(D16&lt;&gt;"",SUBSTITUTE(SUBSTITUTE(SUBSTITUTE(SUBSTITUTE(SUBSTITUTE(SUBSTITUTE(SUBSTITUTE(SUBSTITUTE(SUBSTITUTE(SUBSTITUTE(D16,"亚庇","Kota Kinabalu"),"公寓","Kondominium"),"排屋","Rumah Teres"),"别墅","Vila"),"店铺","Kedai"),"新山","Johor Bahru"),"市中心","Pusat Bandar"),"高级","Premium"),"单位","Unit"),"住宅","Kediaman"),"")</f>
        <v/>
      </c>
      <c r="R16" s="31" t="str">
        <f aca="false">IF(D16&lt;&gt;"","📍 "&amp;IF(E16&lt;&gt;"",E16&amp;"房","")&amp;IF(F16&lt;&gt;"",F16&amp;"卫 ","")&amp;IF(G16&lt;&gt;"",G16&amp;" sqft","")&amp;IF(AND(OR(E16&lt;&gt;"",G16&lt;&gt;""),H16&lt;&gt;"")," · ","")&amp;IF(H16&lt;&gt;"",H16,""),"")</f>
        <v/>
      </c>
      <c r="S16" s="31" t="str">
        <f aca="false">IF(D16&lt;&gt;"","📍 "&amp;IF(E16&lt;&gt;"",E16&amp;"BR ","")&amp;IF(F16&lt;&gt;"",F16&amp;"BA ","")&amp;IF(G16&lt;&gt;"",G16&amp;" sqft","")&amp;IF(AND(OR(E16&lt;&gt;"",G16&lt;&gt;""),H16&lt;&gt;"")," · ","")&amp;IF(H16&lt;&gt;"",SUBSTITUTE(SUBSTITUTE(SUBSTITUTE(SUBSTITUTE(SUBSTITUTE(SUBSTITUTE(SUBSTITUTE(SUBSTITUTE(SUBSTITUTE(SUBSTITUTE(H16,"游泳池","Swimming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6" s="31" t="str">
        <f aca="false">IF(D16&lt;&gt;"","📍 "&amp;IF(E16&lt;&gt;"",E16&amp;"Bilik ","")&amp;IF(F16&lt;&gt;"",F16&amp;"Bilik Air ","")&amp;IF(G16&lt;&gt;"",G16&amp;" sqft","")&amp;IF(AND(OR(E16&lt;&gt;"",G16&lt;&gt;""),H16&lt;&gt;"")," · ","")&amp;IF(H16&lt;&gt;"",SUBSTITUTE(SUBSTITUTE(SUBSTITUTE(SUBSTITUTE(SUBSTITUTE(SUBSTITUTE(SUBSTITUTE(SUBSTITUTE(SUBSTITUTE(SUBSTITUTE(H16,"游泳池","Kolam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6" s="32" t="str">
        <f aca="false">IF(OR(I16&lt;&gt;"",J16&lt;&gt;"",K16&lt;&gt;""),"🔒 "&amp;IF(I16&lt;&gt;"",I16,"")&amp;IF(AND(I16&lt;&gt;"",J16&lt;&gt;"")," · ","")&amp;IF(J16&lt;&gt;"",J16,"")&amp;IF(AND(OR(I16&lt;&gt;"",J16&lt;&gt;""),K16&lt;&gt;"")," · ","")&amp;IF(K16&lt;&gt;"",K16,""),"")</f>
        <v/>
      </c>
      <c r="V16" s="31" t="str">
        <f aca="false">IF(L16&lt;&gt;"","💰 起价 RM "&amp;TEXT(L16,"#,##0"),"")</f>
        <v/>
      </c>
      <c r="W16" s="31" t="str">
        <f aca="false">IF(L16&lt;&gt;"","💰 From RM "&amp;TEXT(L16,"#,##0"),"")</f>
        <v/>
      </c>
      <c r="X16" s="31" t="str">
        <f aca="false">IF(L16&lt;&gt;"","💰 Dari RM "&amp;TEXT(L16,"#,##0"),"")</f>
        <v/>
      </c>
      <c r="Y16" s="33" t="str">
        <f aca="false">IF(D16&lt;&gt;"","您好！我想咨询新楼盘：
🏠 "&amp;D16&amp;"
"&amp;IF(E16&lt;&gt;"","🛏 "&amp;E16&amp;"房"&amp;IF(F16&lt;&gt;""," "&amp;F16&amp;"卫","")&amp;"
","")&amp;IF(G16&lt;&gt;"","📐 "&amp;G16&amp;" sqft
","")&amp;IF(H16&lt;&gt;"","🏊 "&amp;H16&amp;"
","")&amp;IF(U16&lt;&gt;"",U16&amp;"
","")&amp;IF(L16&lt;&gt;"","💰 起价 RM "&amp;TEXT(L16,"#,##0")&amp;"
","")&amp;"
请问还有空档吗？谢谢！","")</f>
        <v/>
      </c>
      <c r="Z16" s="33" t="str">
        <f aca="false">IF(D16&lt;&gt;"","Hi! I'd like to make a new launch enquiry:
🏠 "&amp;P16&amp;"
"&amp;IF(E16&lt;&gt;"","🛏 "&amp;E16&amp;"BR"&amp;IF(F16&lt;&gt;""," "&amp;F16&amp;"BA","")&amp;"
","")&amp;IF(G16&lt;&gt;"","📐 "&amp;G16&amp;" sqft
","")&amp;IF(H16&lt;&gt;"","🏊 "&amp;SUBSTITUTE(SUBSTITUTE(SUBSTITUTE(SUBSTITUTE(SUBSTITUTE(SUBSTITUTE(SUBSTITUTE(SUBSTITUTE(SUBSTITUTE(SUBSTITUTE(H16,"游泳池","Swimming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Control"),""),"")&lt;&gt;"",IF(OR(I16&lt;&gt;"",J16&lt;&gt;"",K16&lt;&gt;""),"🔒 "&amp;IF(I16&lt;&gt;"",SUBSTITUTE(SUBSTITUTE(SUBSTITUTE(SUBSTITUTE(SUBSTITUTE(SUBSTITUTE(SUBSTITUTE(SUBSTITUTE(SUBSTITUTE(SUBSTITUTE(SUBSTITUTE(SUBSTITUTE(I16,"24小时保安","24hr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Control"),"")&amp;IF(AND(I16&lt;&gt;"",OR(J16&lt;&gt;"",K16&lt;&gt;""))," · ","")&amp;IF(J16&lt;&gt;"",SUBSTITUTE(SUBSTITUTE(SUBSTITUTE(SUBSTITUTE(SUBSTITUTE(SUBSTITUTE(SUBSTITUTE(SUBSTITUTE(SUBSTITUTE(SUBSTITUTE(SUBSTITUTE(SUBSTITUTE(J16,"24小时保安","24hr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Control"),"")&amp;IF(AND(J16&lt;&gt;"",K16&lt;&gt;"")," · ","")&amp;IF(K16&lt;&gt;"",SUBSTITUTE(SUBSTITUTE(SUBSTITUTE(SUBSTITUTE(SUBSTITUTE(SUBSTITUTE(SUBSTITUTE(SUBSTITUTE(SUBSTITUTE(SUBSTITUTE(SUBSTITUTE(SUBSTITUTE(K16,"24小时保安","24hr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","")&amp;IF(L16&lt;&gt;"","💰 From RM "&amp;TEXT(L16,"#,##0")&amp;"
","")&amp;"
Is this still available? Thank you!","")</f>
        <v/>
      </c>
      <c r="AA16" s="31"/>
      <c r="AB16" s="33" t="str">
        <f aca="false">IF(D16&lt;&gt;"","Helo! Saya ingin membuat pertanyaan projek baru:
🏠 "&amp;Q16&amp;"
"&amp;IF(E16&lt;&gt;"","🛏 "&amp;E16&amp;"Bilik"&amp;IF(F16&lt;&gt;""," "&amp;F16&amp;"Bilik Air","")&amp;"
","")&amp;IF(G16&lt;&gt;"","📐 "&amp;G16&amp;" sqft
","")&amp;IF(H16&lt;&gt;"","🏊 "&amp;SUBSTITUTE(SUBSTITUTE(SUBSTITUTE(SUBSTITUTE(SUBSTITUTE(SUBSTITUTE(SUBSTITUTE(SUBSTITUTE(SUBSTITUTE(SUBSTITUTE(H16,"游泳池","Kolam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Kawalan"),""),"")&lt;&gt;"",IF(OR(I16&lt;&gt;"",J16&lt;&gt;"",K16&lt;&gt;""),"🔒 "&amp;IF(I16&lt;&gt;"",SUBSTITUTE(SUBSTITUTE(SUBSTITUTE(SUBSTITUTE(SUBSTITUTE(SUBSTITUTE(SUBSTITUTE(SUBSTITUTE(SUBSTITUTE(SUBSTITUTE(SUBSTITUTE(SUBSTITUTE(I16,"24小时保安","Pengawal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Kawalan"),"")&amp;IF(AND(I16&lt;&gt;"",OR(J16&lt;&gt;"",K16&lt;&gt;""))," · ","")&amp;IF(J16&lt;&gt;"",SUBSTITUTE(SUBSTITUTE(SUBSTITUTE(SUBSTITUTE(SUBSTITUTE(SUBSTITUTE(SUBSTITUTE(SUBSTITUTE(SUBSTITUTE(SUBSTITUTE(SUBSTITUTE(SUBSTITUTE(J16,"24小时保安","Pengawal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Kawalan"),"")&amp;IF(AND(J16&lt;&gt;"",K16&lt;&gt;"")," · ","")&amp;IF(K16&lt;&gt;"",SUBSTITUTE(SUBSTITUTE(SUBSTITUTE(SUBSTITUTE(SUBSTITUTE(SUBSTITUTE(SUBSTITUTE(SUBSTITUTE(SUBSTITUTE(SUBSTITUTE(SUBSTITUTE(SUBSTITUTE(K16,"24小时保安","Pengawal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","")&amp;IF(L16&lt;&gt;"","💰 Dari RM "&amp;TEXT(L16,"#,##0")&amp;"
","")&amp;"
Adakah masih tersedia? Terima kasih!","")</f>
        <v/>
      </c>
    </row>
    <row r="17" customFormat="false" ht="51.7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9"/>
      <c r="J17" s="29"/>
      <c r="K17" s="29"/>
      <c r="L17" s="28"/>
      <c r="M17" s="30"/>
      <c r="N17" s="31" t="str">
        <f aca="false">IFERROR(ifs(B17="🏢 Condo 公寓","fa-building",B17="🏠 Apartment 单位","fa-home",B17="🌿 即租即住","fa-home",B17="🌿 近国际学校","fa-school",B17="📌 商业旺铺","fa-store",B17="🌟 海景豪宅","fa-water-ladder",B17="📈 投资优选","fa-chart-line",B17="🏞️ 花园住宅","fa-tree",B17="🌟 2026全新地标","fa-drafting-compass",B17="📈 海外投资优选","fa-globe",B17="🌆 核心地段","fa-city",B17="🔥 限时优惠","fa-fire",B17="✅ 永久产权","fa-certificate",B17="🏅 高回报","fa-medal",B17="🏖️ 度假胜地","fa-umbrella-beach",B17="🏫 学区优选","fa-graduation-cap",B17="🛣️ 交通便利","fa-road",B17="🔑 即买即住","fa-key"),"fa-home")</f>
        <v>fa-home</v>
      </c>
      <c r="O17" s="31" t="str">
        <f aca="false">IF(D17&lt;&gt;"",D17,"")</f>
        <v/>
      </c>
      <c r="P17" s="31" t="str">
        <f aca="false">IF(D17&lt;&gt;"",SUBSTITUTE(SUBSTITUTE(SUBSTITUTE(SUBSTITUTE(SUBSTITUTE(SUBSTITUTE(SUBSTITUTE(SUBSTITUTE(SUBSTITUTE(SUBSTITUTE(D17,"亚庇","Kota Kinabalu"),"公寓","Condo"),"排屋","Terrace"),"别墅","Villa"),"店铺","Shop"),"新山","Johor Bahru"),"市中心","City Centre"),"高级","Premium"),"单位","Unit"),"住宅","Residence"),"")</f>
        <v/>
      </c>
      <c r="Q17" s="31" t="str">
        <f aca="false">IF(D17&lt;&gt;"",SUBSTITUTE(SUBSTITUTE(SUBSTITUTE(SUBSTITUTE(SUBSTITUTE(SUBSTITUTE(SUBSTITUTE(SUBSTITUTE(SUBSTITUTE(SUBSTITUTE(D17,"亚庇","Kota Kinabalu"),"公寓","Kondominium"),"排屋","Rumah Teres"),"别墅","Vila"),"店铺","Kedai"),"新山","Johor Bahru"),"市中心","Pusat Bandar"),"高级","Premium"),"单位","Unit"),"住宅","Kediaman"),"")</f>
        <v/>
      </c>
      <c r="R17" s="31" t="str">
        <f aca="false">IF(D17&lt;&gt;"","📍 "&amp;IF(E17&lt;&gt;"",E17&amp;"房","")&amp;IF(F17&lt;&gt;"",F17&amp;"卫 ","")&amp;IF(G17&lt;&gt;"",G17&amp;" sqft","")&amp;IF(AND(OR(E17&lt;&gt;"",G17&lt;&gt;""),H17&lt;&gt;"")," · ","")&amp;IF(H17&lt;&gt;"",H17,""),"")</f>
        <v/>
      </c>
      <c r="S17" s="31" t="str">
        <f aca="false">IF(D17&lt;&gt;"","📍 "&amp;IF(E17&lt;&gt;"",E17&amp;"BR ","")&amp;IF(F17&lt;&gt;"",F17&amp;"BA ","")&amp;IF(G17&lt;&gt;"",G17&amp;" sqft","")&amp;IF(AND(OR(E17&lt;&gt;"",G17&lt;&gt;""),H17&lt;&gt;"")," · ","")&amp;IF(H17&lt;&gt;"",SUBSTITUTE(SUBSTITUTE(SUBSTITUTE(SUBSTITUTE(SUBSTITUTE(SUBSTITUTE(SUBSTITUTE(SUBSTITUTE(SUBSTITUTE(SUBSTITUTE(H17,"游泳池","Swimming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7" s="31" t="str">
        <f aca="false">IF(D17&lt;&gt;"","📍 "&amp;IF(E17&lt;&gt;"",E17&amp;"Bilik ","")&amp;IF(F17&lt;&gt;"",F17&amp;"Bilik Air ","")&amp;IF(G17&lt;&gt;"",G17&amp;" sqft","")&amp;IF(AND(OR(E17&lt;&gt;"",G17&lt;&gt;""),H17&lt;&gt;"")," · ","")&amp;IF(H17&lt;&gt;"",SUBSTITUTE(SUBSTITUTE(SUBSTITUTE(SUBSTITUTE(SUBSTITUTE(SUBSTITUTE(SUBSTITUTE(SUBSTITUTE(SUBSTITUTE(SUBSTITUTE(H17,"游泳池","Kolam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7" s="32" t="str">
        <f aca="false">IF(OR(I17&lt;&gt;"",J17&lt;&gt;"",K17&lt;&gt;""),"🔒 "&amp;IF(I17&lt;&gt;"",I17,"")&amp;IF(AND(I17&lt;&gt;"",J17&lt;&gt;"")," · ","")&amp;IF(J17&lt;&gt;"",J17,"")&amp;IF(AND(OR(I17&lt;&gt;"",J17&lt;&gt;""),K17&lt;&gt;"")," · ","")&amp;IF(K17&lt;&gt;"",K17,""),"")</f>
        <v/>
      </c>
      <c r="V17" s="31" t="str">
        <f aca="false">IF(L17&lt;&gt;"","💰 起价 RM "&amp;TEXT(L17,"#,##0"),"")</f>
        <v/>
      </c>
      <c r="W17" s="31" t="str">
        <f aca="false">IF(L17&lt;&gt;"","💰 From RM "&amp;TEXT(L17,"#,##0"),"")</f>
        <v/>
      </c>
      <c r="X17" s="31" t="str">
        <f aca="false">IF(L17&lt;&gt;"","💰 Dari RM "&amp;TEXT(L17,"#,##0"),"")</f>
        <v/>
      </c>
      <c r="Y17" s="33" t="str">
        <f aca="false">IF(D17&lt;&gt;"","您好！我想咨询新楼盘：
🏠 "&amp;D17&amp;"
"&amp;IF(E17&lt;&gt;"","🛏 "&amp;E17&amp;"房"&amp;IF(F17&lt;&gt;""," "&amp;F17&amp;"卫","")&amp;"
","")&amp;IF(G17&lt;&gt;"","📐 "&amp;G17&amp;" sqft
","")&amp;IF(H17&lt;&gt;"","🏊 "&amp;H17&amp;"
","")&amp;IF(U17&lt;&gt;"",U17&amp;"
","")&amp;IF(L17&lt;&gt;"","💰 起价 RM "&amp;TEXT(L17,"#,##0")&amp;"
","")&amp;"
请问还有空档吗？谢谢！","")</f>
        <v/>
      </c>
      <c r="Z17" s="33" t="str">
        <f aca="false">IF(D17&lt;&gt;"","Hi! I'd like to make a new launch enquiry:
🏠 "&amp;P17&amp;"
"&amp;IF(E17&lt;&gt;"","🛏 "&amp;E17&amp;"BR"&amp;IF(F17&lt;&gt;""," "&amp;F17&amp;"BA","")&amp;"
","")&amp;IF(G17&lt;&gt;"","📐 "&amp;G17&amp;" sqft
","")&amp;IF(H17&lt;&gt;"","🏊 "&amp;SUBSTITUTE(SUBSTITUTE(SUBSTITUTE(SUBSTITUTE(SUBSTITUTE(SUBSTITUTE(SUBSTITUTE(SUBSTITUTE(SUBSTITUTE(SUBSTITUTE(H17,"游泳池","Swimming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Control"),""),"")&lt;&gt;"",IF(OR(I17&lt;&gt;"",J17&lt;&gt;"",K17&lt;&gt;""),"🔒 "&amp;IF(I17&lt;&gt;"",SUBSTITUTE(SUBSTITUTE(SUBSTITUTE(SUBSTITUTE(SUBSTITUTE(SUBSTITUTE(SUBSTITUTE(SUBSTITUTE(SUBSTITUTE(SUBSTITUTE(SUBSTITUTE(SUBSTITUTE(I17,"24小时保安","24hr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Control"),"")&amp;IF(AND(I17&lt;&gt;"",OR(J17&lt;&gt;"",K17&lt;&gt;""))," · ","")&amp;IF(J17&lt;&gt;"",SUBSTITUTE(SUBSTITUTE(SUBSTITUTE(SUBSTITUTE(SUBSTITUTE(SUBSTITUTE(SUBSTITUTE(SUBSTITUTE(SUBSTITUTE(SUBSTITUTE(SUBSTITUTE(SUBSTITUTE(J17,"24小时保安","24hr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Control"),"")&amp;IF(AND(J17&lt;&gt;"",K17&lt;&gt;"")," · ","")&amp;IF(K17&lt;&gt;"",SUBSTITUTE(SUBSTITUTE(SUBSTITUTE(SUBSTITUTE(SUBSTITUTE(SUBSTITUTE(SUBSTITUTE(SUBSTITUTE(SUBSTITUTE(SUBSTITUTE(SUBSTITUTE(SUBSTITUTE(K17,"24小时保安","24hr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","")&amp;IF(L17&lt;&gt;"","💰 From RM "&amp;TEXT(L17,"#,##0")&amp;"
","")&amp;"
Is this still available? Thank you!","")</f>
        <v/>
      </c>
      <c r="AA17" s="31"/>
      <c r="AB17" s="33" t="str">
        <f aca="false">IF(D17&lt;&gt;"","Helo! Saya ingin membuat pertanyaan projek baru:
🏠 "&amp;Q17&amp;"
"&amp;IF(E17&lt;&gt;"","🛏 "&amp;E17&amp;"Bilik"&amp;IF(F17&lt;&gt;""," "&amp;F17&amp;"Bilik Air","")&amp;"
","")&amp;IF(G17&lt;&gt;"","📐 "&amp;G17&amp;" sqft
","")&amp;IF(H17&lt;&gt;"","🏊 "&amp;SUBSTITUTE(SUBSTITUTE(SUBSTITUTE(SUBSTITUTE(SUBSTITUTE(SUBSTITUTE(SUBSTITUTE(SUBSTITUTE(SUBSTITUTE(SUBSTITUTE(H17,"游泳池","Kolam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Kawalan"),""),"")&lt;&gt;"",IF(OR(I17&lt;&gt;"",J17&lt;&gt;"",K17&lt;&gt;""),"🔒 "&amp;IF(I17&lt;&gt;"",SUBSTITUTE(SUBSTITUTE(SUBSTITUTE(SUBSTITUTE(SUBSTITUTE(SUBSTITUTE(SUBSTITUTE(SUBSTITUTE(SUBSTITUTE(SUBSTITUTE(SUBSTITUTE(SUBSTITUTE(I17,"24小时保安","Pengawal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Kawalan"),"")&amp;IF(AND(I17&lt;&gt;"",OR(J17&lt;&gt;"",K17&lt;&gt;""))," · ","")&amp;IF(J17&lt;&gt;"",SUBSTITUTE(SUBSTITUTE(SUBSTITUTE(SUBSTITUTE(SUBSTITUTE(SUBSTITUTE(SUBSTITUTE(SUBSTITUTE(SUBSTITUTE(SUBSTITUTE(SUBSTITUTE(SUBSTITUTE(J17,"24小时保安","Pengawal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Kawalan"),"")&amp;IF(AND(J17&lt;&gt;"",K17&lt;&gt;"")," · ","")&amp;IF(K17&lt;&gt;"",SUBSTITUTE(SUBSTITUTE(SUBSTITUTE(SUBSTITUTE(SUBSTITUTE(SUBSTITUTE(SUBSTITUTE(SUBSTITUTE(SUBSTITUTE(SUBSTITUTE(SUBSTITUTE(SUBSTITUTE(K17,"24小时保安","Pengawal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","")&amp;IF(L17&lt;&gt;"","💰 Dari RM "&amp;TEXT(L17,"#,##0")&amp;"
","")&amp;"
Adakah masih tersedia? Terima kasih!","")</f>
        <v/>
      </c>
    </row>
    <row r="18" customFormat="false" ht="51.7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9"/>
      <c r="J18" s="29"/>
      <c r="K18" s="29"/>
      <c r="L18" s="28"/>
      <c r="M18" s="30"/>
      <c r="N18" s="31" t="str">
        <f aca="false">IFERROR(ifs(B18="🏢 Condo 公寓","fa-building",B18="🏠 Apartment 单位","fa-home",B18="🌿 即租即住","fa-home",B18="🌿 近国际学校","fa-school",B18="📌 商业旺铺","fa-store",B18="🌟 海景豪宅","fa-water-ladder",B18="📈 投资优选","fa-chart-line",B18="🏞️ 花园住宅","fa-tree",B18="🌟 2026全新地标","fa-drafting-compass",B18="📈 海外投资优选","fa-globe",B18="🌆 核心地段","fa-city",B18="🔥 限时优惠","fa-fire",B18="✅ 永久产权","fa-certificate",B18="🏅 高回报","fa-medal",B18="🏖️ 度假胜地","fa-umbrella-beach",B18="🏫 学区优选","fa-graduation-cap",B18="🛣️ 交通便利","fa-road",B18="🔑 即买即住","fa-key"),"fa-home")</f>
        <v>fa-home</v>
      </c>
      <c r="O18" s="31" t="str">
        <f aca="false">IF(D18&lt;&gt;"",D18,"")</f>
        <v/>
      </c>
      <c r="P18" s="31" t="str">
        <f aca="false">IF(D18&lt;&gt;"",SUBSTITUTE(SUBSTITUTE(SUBSTITUTE(SUBSTITUTE(SUBSTITUTE(SUBSTITUTE(SUBSTITUTE(SUBSTITUTE(SUBSTITUTE(SUBSTITUTE(D18,"亚庇","Kota Kinabalu"),"公寓","Condo"),"排屋","Terrace"),"别墅","Villa"),"店铺","Shop"),"新山","Johor Bahru"),"市中心","City Centre"),"高级","Premium"),"单位","Unit"),"住宅","Residence"),"")</f>
        <v/>
      </c>
      <c r="Q18" s="31" t="str">
        <f aca="false">IF(D18&lt;&gt;"",SUBSTITUTE(SUBSTITUTE(SUBSTITUTE(SUBSTITUTE(SUBSTITUTE(SUBSTITUTE(SUBSTITUTE(SUBSTITUTE(SUBSTITUTE(SUBSTITUTE(D18,"亚庇","Kota Kinabalu"),"公寓","Kondominium"),"排屋","Rumah Teres"),"别墅","Vila"),"店铺","Kedai"),"新山","Johor Bahru"),"市中心","Pusat Bandar"),"高级","Premium"),"单位","Unit"),"住宅","Kediaman"),"")</f>
        <v/>
      </c>
      <c r="R18" s="31" t="str">
        <f aca="false">IF(D18&lt;&gt;"","📍 "&amp;IF(E18&lt;&gt;"",E18&amp;"房","")&amp;IF(F18&lt;&gt;"",F18&amp;"卫 ","")&amp;IF(G18&lt;&gt;"",G18&amp;" sqft","")&amp;IF(AND(OR(E18&lt;&gt;"",G18&lt;&gt;""),H18&lt;&gt;"")," · ","")&amp;IF(H18&lt;&gt;"",H18,""),"")</f>
        <v/>
      </c>
      <c r="S18" s="31" t="str">
        <f aca="false">IF(D18&lt;&gt;"","📍 "&amp;IF(E18&lt;&gt;"",E18&amp;"BR ","")&amp;IF(F18&lt;&gt;"",F18&amp;"BA ","")&amp;IF(G18&lt;&gt;"",G18&amp;" sqft","")&amp;IF(AND(OR(E18&lt;&gt;"",G18&lt;&gt;""),H18&lt;&gt;"")," · ","")&amp;IF(H18&lt;&gt;"",SUBSTITUTE(SUBSTITUTE(SUBSTITUTE(SUBSTITUTE(SUBSTITUTE(SUBSTITUTE(SUBSTITUTE(SUBSTITUTE(SUBSTITUTE(SUBSTITUTE(H18,"游泳池","Swimming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8" s="31" t="str">
        <f aca="false">IF(D18&lt;&gt;"","📍 "&amp;IF(E18&lt;&gt;"",E18&amp;"Bilik ","")&amp;IF(F18&lt;&gt;"",F18&amp;"Bilik Air ","")&amp;IF(G18&lt;&gt;"",G18&amp;" sqft","")&amp;IF(AND(OR(E18&lt;&gt;"",G18&lt;&gt;""),H18&lt;&gt;"")," · ","")&amp;IF(H18&lt;&gt;"",SUBSTITUTE(SUBSTITUTE(SUBSTITUTE(SUBSTITUTE(SUBSTITUTE(SUBSTITUTE(SUBSTITUTE(SUBSTITUTE(SUBSTITUTE(SUBSTITUTE(H18,"游泳池","Kolam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8" s="32" t="str">
        <f aca="false">IF(OR(I18&lt;&gt;"",J18&lt;&gt;"",K18&lt;&gt;""),"🔒 "&amp;IF(I18&lt;&gt;"",I18,"")&amp;IF(AND(I18&lt;&gt;"",J18&lt;&gt;"")," · ","")&amp;IF(J18&lt;&gt;"",J18,"")&amp;IF(AND(OR(I18&lt;&gt;"",J18&lt;&gt;""),K18&lt;&gt;"")," · ","")&amp;IF(K18&lt;&gt;"",K18,""),"")</f>
        <v/>
      </c>
      <c r="V18" s="31" t="str">
        <f aca="false">IF(L18&lt;&gt;"","💰 起价 RM "&amp;TEXT(L18,"#,##0"),"")</f>
        <v/>
      </c>
      <c r="W18" s="31" t="str">
        <f aca="false">IF(L18&lt;&gt;"","💰 From RM "&amp;TEXT(L18,"#,##0"),"")</f>
        <v/>
      </c>
      <c r="X18" s="31" t="str">
        <f aca="false">IF(L18&lt;&gt;"","💰 Dari RM "&amp;TEXT(L18,"#,##0"),"")</f>
        <v/>
      </c>
      <c r="Y18" s="33" t="str">
        <f aca="false">IF(D18&lt;&gt;"","您好！我想咨询新楼盘：
🏠 "&amp;D18&amp;"
"&amp;IF(E18&lt;&gt;"","🛏 "&amp;E18&amp;"房"&amp;IF(F18&lt;&gt;""," "&amp;F18&amp;"卫","")&amp;"
","")&amp;IF(G18&lt;&gt;"","📐 "&amp;G18&amp;" sqft
","")&amp;IF(H18&lt;&gt;"","🏊 "&amp;H18&amp;"
","")&amp;IF(U18&lt;&gt;"",U18&amp;"
","")&amp;IF(L18&lt;&gt;"","💰 起价 RM "&amp;TEXT(L18,"#,##0")&amp;"
","")&amp;"
请问还有空档吗？谢谢！","")</f>
        <v/>
      </c>
      <c r="Z18" s="33" t="str">
        <f aca="false">IF(D18&lt;&gt;"","Hi! I'd like to make a new launch enquiry:
🏠 "&amp;P18&amp;"
"&amp;IF(E18&lt;&gt;"","🛏 "&amp;E18&amp;"BR"&amp;IF(F18&lt;&gt;""," "&amp;F18&amp;"BA","")&amp;"
","")&amp;IF(G18&lt;&gt;"","📐 "&amp;G18&amp;" sqft
","")&amp;IF(H18&lt;&gt;"","🏊 "&amp;SUBSTITUTE(SUBSTITUTE(SUBSTITUTE(SUBSTITUTE(SUBSTITUTE(SUBSTITUTE(SUBSTITUTE(SUBSTITUTE(SUBSTITUTE(SUBSTITUTE(H18,"游泳池","Swimming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Control"),""),"")&lt;&gt;"",IF(OR(I18&lt;&gt;"",J18&lt;&gt;"",K18&lt;&gt;""),"🔒 "&amp;IF(I18&lt;&gt;"",SUBSTITUTE(SUBSTITUTE(SUBSTITUTE(SUBSTITUTE(SUBSTITUTE(SUBSTITUTE(SUBSTITUTE(SUBSTITUTE(SUBSTITUTE(SUBSTITUTE(SUBSTITUTE(SUBSTITUTE(I18,"24小时保安","24hr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Control"),"")&amp;IF(AND(I18&lt;&gt;"",OR(J18&lt;&gt;"",K18&lt;&gt;""))," · ","")&amp;IF(J18&lt;&gt;"",SUBSTITUTE(SUBSTITUTE(SUBSTITUTE(SUBSTITUTE(SUBSTITUTE(SUBSTITUTE(SUBSTITUTE(SUBSTITUTE(SUBSTITUTE(SUBSTITUTE(SUBSTITUTE(SUBSTITUTE(J18,"24小时保安","24hr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Control"),"")&amp;IF(AND(J18&lt;&gt;"",K18&lt;&gt;"")," · ","")&amp;IF(K18&lt;&gt;"",SUBSTITUTE(SUBSTITUTE(SUBSTITUTE(SUBSTITUTE(SUBSTITUTE(SUBSTITUTE(SUBSTITUTE(SUBSTITUTE(SUBSTITUTE(SUBSTITUTE(SUBSTITUTE(SUBSTITUTE(K18,"24小时保安","24hr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","")&amp;IF(L18&lt;&gt;"","💰 From RM "&amp;TEXT(L18,"#,##0")&amp;"
","")&amp;"
Is this still available? Thank you!","")</f>
        <v/>
      </c>
      <c r="AA18" s="31"/>
      <c r="AB18" s="33" t="str">
        <f aca="false">IF(D18&lt;&gt;"","Helo! Saya ingin membuat pertanyaan projek baru:
🏠 "&amp;Q18&amp;"
"&amp;IF(E18&lt;&gt;"","🛏 "&amp;E18&amp;"Bilik"&amp;IF(F18&lt;&gt;""," "&amp;F18&amp;"Bilik Air","")&amp;"
","")&amp;IF(G18&lt;&gt;"","📐 "&amp;G18&amp;" sqft
","")&amp;IF(H18&lt;&gt;"","🏊 "&amp;SUBSTITUTE(SUBSTITUTE(SUBSTITUTE(SUBSTITUTE(SUBSTITUTE(SUBSTITUTE(SUBSTITUTE(SUBSTITUTE(SUBSTITUTE(SUBSTITUTE(H18,"游泳池","Kolam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Kawalan"),""),"")&lt;&gt;"",IF(OR(I18&lt;&gt;"",J18&lt;&gt;"",K18&lt;&gt;""),"🔒 "&amp;IF(I18&lt;&gt;"",SUBSTITUTE(SUBSTITUTE(SUBSTITUTE(SUBSTITUTE(SUBSTITUTE(SUBSTITUTE(SUBSTITUTE(SUBSTITUTE(SUBSTITUTE(SUBSTITUTE(SUBSTITUTE(SUBSTITUTE(I18,"24小时保安","Pengawal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Kawalan"),"")&amp;IF(AND(I18&lt;&gt;"",OR(J18&lt;&gt;"",K18&lt;&gt;""))," · ","")&amp;IF(J18&lt;&gt;"",SUBSTITUTE(SUBSTITUTE(SUBSTITUTE(SUBSTITUTE(SUBSTITUTE(SUBSTITUTE(SUBSTITUTE(SUBSTITUTE(SUBSTITUTE(SUBSTITUTE(SUBSTITUTE(SUBSTITUTE(J18,"24小时保安","Pengawal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Kawalan"),"")&amp;IF(AND(J18&lt;&gt;"",K18&lt;&gt;"")," · ","")&amp;IF(K18&lt;&gt;"",SUBSTITUTE(SUBSTITUTE(SUBSTITUTE(SUBSTITUTE(SUBSTITUTE(SUBSTITUTE(SUBSTITUTE(SUBSTITUTE(SUBSTITUTE(SUBSTITUTE(SUBSTITUTE(SUBSTITUTE(K18,"24小时保安","Pengawal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","")&amp;IF(L18&lt;&gt;"","💰 Dari RM "&amp;TEXT(L18,"#,##0")&amp;"
","")&amp;"
Adakah masih tersedia? Terima kasih!","")</f>
        <v/>
      </c>
    </row>
    <row r="19" customFormat="false" ht="51.7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9"/>
      <c r="J19" s="29"/>
      <c r="K19" s="29"/>
      <c r="L19" s="28"/>
      <c r="M19" s="30"/>
      <c r="N19" s="31" t="str">
        <f aca="false">IFERROR(ifs(B19="🏢 Condo 公寓","fa-building",B19="🏠 Apartment 单位","fa-home",B19="🌿 即租即住","fa-home",B19="🌿 近国际学校","fa-school",B19="📌 商业旺铺","fa-store",B19="🌟 海景豪宅","fa-water-ladder",B19="📈 投资优选","fa-chart-line",B19="🏞️ 花园住宅","fa-tree",B19="🌟 2026全新地标","fa-drafting-compass",B19="📈 海外投资优选","fa-globe",B19="🌆 核心地段","fa-city",B19="🔥 限时优惠","fa-fire",B19="✅ 永久产权","fa-certificate",B19="🏅 高回报","fa-medal",B19="🏖️ 度假胜地","fa-umbrella-beach",B19="🏫 学区优选","fa-graduation-cap",B19="🛣️ 交通便利","fa-road",B19="🔑 即买即住","fa-key"),"fa-home")</f>
        <v>fa-home</v>
      </c>
      <c r="O19" s="31" t="str">
        <f aca="false">IF(D19&lt;&gt;"",D19,"")</f>
        <v/>
      </c>
      <c r="P19" s="31" t="str">
        <f aca="false">IF(D19&lt;&gt;"",SUBSTITUTE(SUBSTITUTE(SUBSTITUTE(SUBSTITUTE(SUBSTITUTE(SUBSTITUTE(SUBSTITUTE(SUBSTITUTE(SUBSTITUTE(SUBSTITUTE(D19,"亚庇","Kota Kinabalu"),"公寓","Condo"),"排屋","Terrace"),"别墅","Villa"),"店铺","Shop"),"新山","Johor Bahru"),"市中心","City Centre"),"高级","Premium"),"单位","Unit"),"住宅","Residence"),"")</f>
        <v/>
      </c>
      <c r="Q19" s="31" t="str">
        <f aca="false">IF(D19&lt;&gt;"",SUBSTITUTE(SUBSTITUTE(SUBSTITUTE(SUBSTITUTE(SUBSTITUTE(SUBSTITUTE(SUBSTITUTE(SUBSTITUTE(SUBSTITUTE(SUBSTITUTE(D19,"亚庇","Kota Kinabalu"),"公寓","Kondominium"),"排屋","Rumah Teres"),"别墅","Vila"),"店铺","Kedai"),"新山","Johor Bahru"),"市中心","Pusat Bandar"),"高级","Premium"),"单位","Unit"),"住宅","Kediaman"),"")</f>
        <v/>
      </c>
      <c r="R19" s="31" t="str">
        <f aca="false">IF(D19&lt;&gt;"","📍 "&amp;IF(E19&lt;&gt;"",E19&amp;"房","")&amp;IF(F19&lt;&gt;"",F19&amp;"卫 ","")&amp;IF(G19&lt;&gt;"",G19&amp;" sqft","")&amp;IF(AND(OR(E19&lt;&gt;"",G19&lt;&gt;""),H19&lt;&gt;"")," · ","")&amp;IF(H19&lt;&gt;"",H19,""),"")</f>
        <v/>
      </c>
      <c r="S19" s="31" t="str">
        <f aca="false">IF(D19&lt;&gt;"","📍 "&amp;IF(E19&lt;&gt;"",E19&amp;"BR ","")&amp;IF(F19&lt;&gt;"",F19&amp;"BA ","")&amp;IF(G19&lt;&gt;"",G19&amp;" sqft","")&amp;IF(AND(OR(E19&lt;&gt;"",G19&lt;&gt;""),H19&lt;&gt;"")," · ","")&amp;IF(H19&lt;&gt;"",SUBSTITUTE(SUBSTITUTE(SUBSTITUTE(SUBSTITUTE(SUBSTITUTE(SUBSTITUTE(SUBSTITUTE(SUBSTITUTE(SUBSTITUTE(SUBSTITUTE(H19,"游泳池","Swimming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19" s="31" t="str">
        <f aca="false">IF(D19&lt;&gt;"","📍 "&amp;IF(E19&lt;&gt;"",E19&amp;"Bilik ","")&amp;IF(F19&lt;&gt;"",F19&amp;"Bilik Air ","")&amp;IF(G19&lt;&gt;"",G19&amp;" sqft","")&amp;IF(AND(OR(E19&lt;&gt;"",G19&lt;&gt;""),H19&lt;&gt;"")," · ","")&amp;IF(H19&lt;&gt;"",SUBSTITUTE(SUBSTITUTE(SUBSTITUTE(SUBSTITUTE(SUBSTITUTE(SUBSTITUTE(SUBSTITUTE(SUBSTITUTE(SUBSTITUTE(SUBSTITUTE(H19,"游泳池","Kolam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19" s="32" t="str">
        <f aca="false">IF(OR(I19&lt;&gt;"",J19&lt;&gt;"",K19&lt;&gt;""),"🔒 "&amp;IF(I19&lt;&gt;"",I19,"")&amp;IF(AND(I19&lt;&gt;"",J19&lt;&gt;"")," · ","")&amp;IF(J19&lt;&gt;"",J19,"")&amp;IF(AND(OR(I19&lt;&gt;"",J19&lt;&gt;""),K19&lt;&gt;"")," · ","")&amp;IF(K19&lt;&gt;"",K19,""),"")</f>
        <v/>
      </c>
      <c r="V19" s="31" t="str">
        <f aca="false">IF(L19&lt;&gt;"","💰 起价 RM "&amp;TEXT(L19,"#,##0"),"")</f>
        <v/>
      </c>
      <c r="W19" s="31" t="str">
        <f aca="false">IF(L19&lt;&gt;"","💰 From RM "&amp;TEXT(L19,"#,##0"),"")</f>
        <v/>
      </c>
      <c r="X19" s="31" t="str">
        <f aca="false">IF(L19&lt;&gt;"","💰 Dari RM "&amp;TEXT(L19,"#,##0"),"")</f>
        <v/>
      </c>
      <c r="Y19" s="33" t="str">
        <f aca="false">IF(D19&lt;&gt;"","您好！我想咨询新楼盘：
🏠 "&amp;D19&amp;"
"&amp;IF(E19&lt;&gt;"","🛏 "&amp;E19&amp;"房"&amp;IF(F19&lt;&gt;""," "&amp;F19&amp;"卫","")&amp;"
","")&amp;IF(G19&lt;&gt;"","📐 "&amp;G19&amp;" sqft
","")&amp;IF(H19&lt;&gt;"","🏊 "&amp;H19&amp;"
","")&amp;IF(U19&lt;&gt;"",U19&amp;"
","")&amp;IF(L19&lt;&gt;"","💰 起价 RM "&amp;TEXT(L19,"#,##0")&amp;"
","")&amp;"
请问还有空档吗？谢谢！","")</f>
        <v/>
      </c>
      <c r="Z19" s="33" t="str">
        <f aca="false">IF(D19&lt;&gt;"","Hi! I'd like to make a new launch enquiry:
🏠 "&amp;P19&amp;"
"&amp;IF(E19&lt;&gt;"","🛏 "&amp;E19&amp;"BR"&amp;IF(F19&lt;&gt;""," "&amp;F19&amp;"BA","")&amp;"
","")&amp;IF(G19&lt;&gt;"","📐 "&amp;G19&amp;" sqft
","")&amp;IF(H19&lt;&gt;"","🏊 "&amp;SUBSTITUTE(SUBSTITUTE(SUBSTITUTE(SUBSTITUTE(SUBSTITUTE(SUBSTITUTE(SUBSTITUTE(SUBSTITUTE(SUBSTITUTE(SUBSTITUTE(H19,"游泳池","Swimming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Control"),""),"")&lt;&gt;"",IF(OR(I19&lt;&gt;"",J19&lt;&gt;"",K19&lt;&gt;""),"🔒 "&amp;IF(I19&lt;&gt;"",SUBSTITUTE(SUBSTITUTE(SUBSTITUTE(SUBSTITUTE(SUBSTITUTE(SUBSTITUTE(SUBSTITUTE(SUBSTITUTE(SUBSTITUTE(SUBSTITUTE(SUBSTITUTE(SUBSTITUTE(I19,"24小时保安","24hr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Control"),"")&amp;IF(AND(I19&lt;&gt;"",OR(J19&lt;&gt;"",K19&lt;&gt;""))," · ","")&amp;IF(J19&lt;&gt;"",SUBSTITUTE(SUBSTITUTE(SUBSTITUTE(SUBSTITUTE(SUBSTITUTE(SUBSTITUTE(SUBSTITUTE(SUBSTITUTE(SUBSTITUTE(SUBSTITUTE(SUBSTITUTE(SUBSTITUTE(J19,"24小时保安","24hr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Control"),"")&amp;IF(AND(J19&lt;&gt;"",K19&lt;&gt;"")," · ","")&amp;IF(K19&lt;&gt;"",SUBSTITUTE(SUBSTITUTE(SUBSTITUTE(SUBSTITUTE(SUBSTITUTE(SUBSTITUTE(SUBSTITUTE(SUBSTITUTE(SUBSTITUTE(SUBSTITUTE(SUBSTITUTE(SUBSTITUTE(K19,"24小时保安","24hr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","")&amp;IF(L19&lt;&gt;"","💰 From RM "&amp;TEXT(L19,"#,##0")&amp;"
","")&amp;"
Is this still available? Thank you!","")</f>
        <v/>
      </c>
      <c r="AA19" s="31"/>
      <c r="AB19" s="33" t="str">
        <f aca="false">IF(D19&lt;&gt;"","Helo! Saya ingin membuat pertanyaan projek baru:
🏠 "&amp;Q19&amp;"
"&amp;IF(E19&lt;&gt;"","🛏 "&amp;E19&amp;"Bilik"&amp;IF(F19&lt;&gt;""," "&amp;F19&amp;"Bilik Air","")&amp;"
","")&amp;IF(G19&lt;&gt;"","📐 "&amp;G19&amp;" sqft
","")&amp;IF(H19&lt;&gt;"","🏊 "&amp;SUBSTITUTE(SUBSTITUTE(SUBSTITUTE(SUBSTITUTE(SUBSTITUTE(SUBSTITUTE(SUBSTITUTE(SUBSTITUTE(SUBSTITUTE(SUBSTITUTE(H19,"游泳池","Kolam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Kawalan"),""),"")&lt;&gt;"",IF(OR(I19&lt;&gt;"",J19&lt;&gt;"",K19&lt;&gt;""),"🔒 "&amp;IF(I19&lt;&gt;"",SUBSTITUTE(SUBSTITUTE(SUBSTITUTE(SUBSTITUTE(SUBSTITUTE(SUBSTITUTE(SUBSTITUTE(SUBSTITUTE(SUBSTITUTE(SUBSTITUTE(SUBSTITUTE(SUBSTITUTE(I19,"24小时保安","Pengawal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Kawalan"),"")&amp;IF(AND(I19&lt;&gt;"",OR(J19&lt;&gt;"",K19&lt;&gt;""))," · ","")&amp;IF(J19&lt;&gt;"",SUBSTITUTE(SUBSTITUTE(SUBSTITUTE(SUBSTITUTE(SUBSTITUTE(SUBSTITUTE(SUBSTITUTE(SUBSTITUTE(SUBSTITUTE(SUBSTITUTE(SUBSTITUTE(SUBSTITUTE(J19,"24小时保安","Pengawal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Kawalan"),"")&amp;IF(AND(J19&lt;&gt;"",K19&lt;&gt;"")," · ","")&amp;IF(K19&lt;&gt;"",SUBSTITUTE(SUBSTITUTE(SUBSTITUTE(SUBSTITUTE(SUBSTITUTE(SUBSTITUTE(SUBSTITUTE(SUBSTITUTE(SUBSTITUTE(SUBSTITUTE(SUBSTITUTE(SUBSTITUTE(K19,"24小时保安","Pengawal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","")&amp;IF(L19&lt;&gt;"","💰 Dari RM "&amp;TEXT(L19,"#,##0")&amp;"
","")&amp;"
Adakah masih tersedia? Terima kasih!","")</f>
        <v/>
      </c>
    </row>
    <row r="20" customFormat="false" ht="51.7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9"/>
      <c r="J20" s="29"/>
      <c r="K20" s="29"/>
      <c r="L20" s="28"/>
      <c r="M20" s="30"/>
      <c r="N20" s="31" t="str">
        <f aca="false">IFERROR(ifs(B20="🏢 Condo 公寓","fa-building",B20="🏠 Apartment 单位","fa-home",B20="🌿 即租即住","fa-home",B20="🌿 近国际学校","fa-school",B20="📌 商业旺铺","fa-store",B20="🌟 海景豪宅","fa-water-ladder",B20="📈 投资优选","fa-chart-line",B20="🏞️ 花园住宅","fa-tree",B20="🌟 2026全新地标","fa-drafting-compass",B20="📈 海外投资优选","fa-globe",B20="🌆 核心地段","fa-city",B20="🔥 限时优惠","fa-fire",B20="✅ 永久产权","fa-certificate",B20="🏅 高回报","fa-medal",B20="🏖️ 度假胜地","fa-umbrella-beach",B20="🏫 学区优选","fa-graduation-cap",B20="🛣️ 交通便利","fa-road",B20="🔑 即买即住","fa-key"),"fa-home")</f>
        <v>fa-home</v>
      </c>
      <c r="O20" s="31" t="str">
        <f aca="false">IF(D20&lt;&gt;"",D20,"")</f>
        <v/>
      </c>
      <c r="P20" s="31" t="str">
        <f aca="false">IF(D20&lt;&gt;"",SUBSTITUTE(SUBSTITUTE(SUBSTITUTE(SUBSTITUTE(SUBSTITUTE(SUBSTITUTE(SUBSTITUTE(SUBSTITUTE(SUBSTITUTE(SUBSTITUTE(D20,"亚庇","Kota Kinabalu"),"公寓","Condo"),"排屋","Terrace"),"别墅","Villa"),"店铺","Shop"),"新山","Johor Bahru"),"市中心","City Centre"),"高级","Premium"),"单位","Unit"),"住宅","Residence"),"")</f>
        <v/>
      </c>
      <c r="Q20" s="31" t="str">
        <f aca="false">IF(D20&lt;&gt;"",SUBSTITUTE(SUBSTITUTE(SUBSTITUTE(SUBSTITUTE(SUBSTITUTE(SUBSTITUTE(SUBSTITUTE(SUBSTITUTE(SUBSTITUTE(SUBSTITUTE(D20,"亚庇","Kota Kinabalu"),"公寓","Kondominium"),"排屋","Rumah Teres"),"别墅","Vila"),"店铺","Kedai"),"新山","Johor Bahru"),"市中心","Pusat Bandar"),"高级","Premium"),"单位","Unit"),"住宅","Kediaman"),"")</f>
        <v/>
      </c>
      <c r="R20" s="31" t="str">
        <f aca="false">IF(D20&lt;&gt;"","📍 "&amp;IF(E20&lt;&gt;"",E20&amp;"房","")&amp;IF(F20&lt;&gt;"",F20&amp;"卫 ","")&amp;IF(G20&lt;&gt;"",G20&amp;" sqft","")&amp;IF(AND(OR(E20&lt;&gt;"",G20&lt;&gt;""),H20&lt;&gt;"")," · ","")&amp;IF(H20&lt;&gt;"",H20,""),"")</f>
        <v/>
      </c>
      <c r="S20" s="31" t="str">
        <f aca="false">IF(D20&lt;&gt;"","📍 "&amp;IF(E20&lt;&gt;"",E20&amp;"BR ","")&amp;IF(F20&lt;&gt;"",F20&amp;"BA ","")&amp;IF(G20&lt;&gt;"",G20&amp;" sqft","")&amp;IF(AND(OR(E20&lt;&gt;"",G20&lt;&gt;""),H20&lt;&gt;"")," · ","")&amp;IF(H20&lt;&gt;"",SUBSTITUTE(SUBSTITUTE(SUBSTITUTE(SUBSTITUTE(SUBSTITUTE(SUBSTITUTE(SUBSTITUTE(SUBSTITUTE(SUBSTITUTE(SUBSTITUTE(H20,"游泳池","Swimming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0" s="31" t="str">
        <f aca="false">IF(D20&lt;&gt;"","📍 "&amp;IF(E20&lt;&gt;"",E20&amp;"Bilik ","")&amp;IF(F20&lt;&gt;"",F20&amp;"Bilik Air ","")&amp;IF(G20&lt;&gt;"",G20&amp;" sqft","")&amp;IF(AND(OR(E20&lt;&gt;"",G20&lt;&gt;""),H20&lt;&gt;"")," · ","")&amp;IF(H20&lt;&gt;"",SUBSTITUTE(SUBSTITUTE(SUBSTITUTE(SUBSTITUTE(SUBSTITUTE(SUBSTITUTE(SUBSTITUTE(SUBSTITUTE(SUBSTITUTE(SUBSTITUTE(H20,"游泳池","Kolam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0" s="32" t="str">
        <f aca="false">IF(OR(I20&lt;&gt;"",J20&lt;&gt;"",K20&lt;&gt;""),"🔒 "&amp;IF(I20&lt;&gt;"",I20,"")&amp;IF(AND(I20&lt;&gt;"",J20&lt;&gt;"")," · ","")&amp;IF(J20&lt;&gt;"",J20,"")&amp;IF(AND(OR(I20&lt;&gt;"",J20&lt;&gt;""),K20&lt;&gt;"")," · ","")&amp;IF(K20&lt;&gt;"",K20,""),"")</f>
        <v/>
      </c>
      <c r="V20" s="31" t="str">
        <f aca="false">IF(L20&lt;&gt;"","💰 起价 RM "&amp;TEXT(L20,"#,##0"),"")</f>
        <v/>
      </c>
      <c r="W20" s="31" t="str">
        <f aca="false">IF(L20&lt;&gt;"","💰 From RM "&amp;TEXT(L20,"#,##0"),"")</f>
        <v/>
      </c>
      <c r="X20" s="31" t="str">
        <f aca="false">IF(L20&lt;&gt;"","💰 Dari RM "&amp;TEXT(L20,"#,##0"),"")</f>
        <v/>
      </c>
      <c r="Y20" s="33" t="str">
        <f aca="false">IF(D20&lt;&gt;"","您好！我想咨询新楼盘：
🏠 "&amp;D20&amp;"
"&amp;IF(E20&lt;&gt;"","🛏 "&amp;E20&amp;"房"&amp;IF(F20&lt;&gt;""," "&amp;F20&amp;"卫","")&amp;"
","")&amp;IF(G20&lt;&gt;"","📐 "&amp;G20&amp;" sqft
","")&amp;IF(H20&lt;&gt;"","🏊 "&amp;H20&amp;"
","")&amp;IF(U20&lt;&gt;"",U20&amp;"
","")&amp;IF(L20&lt;&gt;"","💰 起价 RM "&amp;TEXT(L20,"#,##0")&amp;"
","")&amp;"
请问还有空档吗？谢谢！","")</f>
        <v/>
      </c>
      <c r="Z20" s="33" t="str">
        <f aca="false">IF(D20&lt;&gt;"","Hi! I'd like to make a new launch enquiry:
🏠 "&amp;P20&amp;"
"&amp;IF(E20&lt;&gt;"","🛏 "&amp;E20&amp;"BR"&amp;IF(F20&lt;&gt;""," "&amp;F20&amp;"BA","")&amp;"
","")&amp;IF(G20&lt;&gt;"","📐 "&amp;G20&amp;" sqft
","")&amp;IF(H20&lt;&gt;"","🏊 "&amp;SUBSTITUTE(SUBSTITUTE(SUBSTITUTE(SUBSTITUTE(SUBSTITUTE(SUBSTITUTE(SUBSTITUTE(SUBSTITUTE(SUBSTITUTE(SUBSTITUTE(H20,"游泳池","Swimming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Control"),""),"")&lt;&gt;"",IF(OR(I20&lt;&gt;"",J20&lt;&gt;"",K20&lt;&gt;""),"🔒 "&amp;IF(I20&lt;&gt;"",SUBSTITUTE(SUBSTITUTE(SUBSTITUTE(SUBSTITUTE(SUBSTITUTE(SUBSTITUTE(SUBSTITUTE(SUBSTITUTE(SUBSTITUTE(SUBSTITUTE(SUBSTITUTE(SUBSTITUTE(I20,"24小时保安","24hr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Control"),"")&amp;IF(AND(I20&lt;&gt;"",OR(J20&lt;&gt;"",K20&lt;&gt;""))," · ","")&amp;IF(J20&lt;&gt;"",SUBSTITUTE(SUBSTITUTE(SUBSTITUTE(SUBSTITUTE(SUBSTITUTE(SUBSTITUTE(SUBSTITUTE(SUBSTITUTE(SUBSTITUTE(SUBSTITUTE(SUBSTITUTE(SUBSTITUTE(J20,"24小时保安","24hr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Control"),"")&amp;IF(AND(J20&lt;&gt;"",K20&lt;&gt;"")," · ","")&amp;IF(K20&lt;&gt;"",SUBSTITUTE(SUBSTITUTE(SUBSTITUTE(SUBSTITUTE(SUBSTITUTE(SUBSTITUTE(SUBSTITUTE(SUBSTITUTE(SUBSTITUTE(SUBSTITUTE(SUBSTITUTE(SUBSTITUTE(K20,"24小时保安","24hr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","")&amp;IF(L20&lt;&gt;"","💰 From RM "&amp;TEXT(L20,"#,##0")&amp;"
","")&amp;"
Is this still available? Thank you!","")</f>
        <v/>
      </c>
      <c r="AA20" s="31"/>
      <c r="AB20" s="33" t="str">
        <f aca="false">IF(D20&lt;&gt;"","Helo! Saya ingin membuat pertanyaan projek baru:
🏠 "&amp;Q20&amp;"
"&amp;IF(E20&lt;&gt;"","🛏 "&amp;E20&amp;"Bilik"&amp;IF(F20&lt;&gt;""," "&amp;F20&amp;"Bilik Air","")&amp;"
","")&amp;IF(G20&lt;&gt;"","📐 "&amp;G20&amp;" sqft
","")&amp;IF(H20&lt;&gt;"","🏊 "&amp;SUBSTITUTE(SUBSTITUTE(SUBSTITUTE(SUBSTITUTE(SUBSTITUTE(SUBSTITUTE(SUBSTITUTE(SUBSTITUTE(SUBSTITUTE(SUBSTITUTE(H20,"游泳池","Kolam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Kawalan"),""),"")&lt;&gt;"",IF(OR(I20&lt;&gt;"",J20&lt;&gt;"",K20&lt;&gt;""),"🔒 "&amp;IF(I20&lt;&gt;"",SUBSTITUTE(SUBSTITUTE(SUBSTITUTE(SUBSTITUTE(SUBSTITUTE(SUBSTITUTE(SUBSTITUTE(SUBSTITUTE(SUBSTITUTE(SUBSTITUTE(SUBSTITUTE(SUBSTITUTE(I20,"24小时保安","Pengawal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Kawalan"),"")&amp;IF(AND(I20&lt;&gt;"",OR(J20&lt;&gt;"",K20&lt;&gt;""))," · ","")&amp;IF(J20&lt;&gt;"",SUBSTITUTE(SUBSTITUTE(SUBSTITUTE(SUBSTITUTE(SUBSTITUTE(SUBSTITUTE(SUBSTITUTE(SUBSTITUTE(SUBSTITUTE(SUBSTITUTE(SUBSTITUTE(SUBSTITUTE(J20,"24小时保安","Pengawal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Kawalan"),"")&amp;IF(AND(J20&lt;&gt;"",K20&lt;&gt;"")," · ","")&amp;IF(K20&lt;&gt;"",SUBSTITUTE(SUBSTITUTE(SUBSTITUTE(SUBSTITUTE(SUBSTITUTE(SUBSTITUTE(SUBSTITUTE(SUBSTITUTE(SUBSTITUTE(SUBSTITUTE(SUBSTITUTE(SUBSTITUTE(K20,"24小时保安","Pengawal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","")&amp;IF(L20&lt;&gt;"","💰 Dari RM "&amp;TEXT(L20,"#,##0")&amp;"
","")&amp;"
Adakah masih tersedia? Terima kasih!","")</f>
        <v/>
      </c>
    </row>
    <row r="21" customFormat="false" ht="51.7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9"/>
      <c r="J21" s="29"/>
      <c r="K21" s="29"/>
      <c r="L21" s="28"/>
      <c r="M21" s="30"/>
      <c r="N21" s="31" t="str">
        <f aca="false">IFERROR(ifs(B21="🏢 Condo 公寓","fa-building",B21="🏠 Apartment 单位","fa-home",B21="🌿 即租即住","fa-home",B21="🌿 近国际学校","fa-school",B21="📌 商业旺铺","fa-store",B21="🌟 海景豪宅","fa-water-ladder",B21="📈 投资优选","fa-chart-line",B21="🏞️ 花园住宅","fa-tree",B21="🌟 2026全新地标","fa-drafting-compass",B21="📈 海外投资优选","fa-globe",B21="🌆 核心地段","fa-city",B21="🔥 限时优惠","fa-fire",B21="✅ 永久产权","fa-certificate",B21="🏅 高回报","fa-medal",B21="🏖️ 度假胜地","fa-umbrella-beach",B21="🏫 学区优选","fa-graduation-cap",B21="🛣️ 交通便利","fa-road",B21="🔑 即买即住","fa-key"),"fa-home")</f>
        <v>fa-home</v>
      </c>
      <c r="O21" s="31" t="str">
        <f aca="false">IF(D21&lt;&gt;"",D21,"")</f>
        <v/>
      </c>
      <c r="P21" s="31" t="str">
        <f aca="false">IF(D21&lt;&gt;"",SUBSTITUTE(SUBSTITUTE(SUBSTITUTE(SUBSTITUTE(SUBSTITUTE(SUBSTITUTE(SUBSTITUTE(SUBSTITUTE(SUBSTITUTE(SUBSTITUTE(D21,"亚庇","Kota Kinabalu"),"公寓","Condo"),"排屋","Terrace"),"别墅","Villa"),"店铺","Shop"),"新山","Johor Bahru"),"市中心","City Centre"),"高级","Premium"),"单位","Unit"),"住宅","Residence"),"")</f>
        <v/>
      </c>
      <c r="Q21" s="31" t="str">
        <f aca="false">IF(D21&lt;&gt;"",SUBSTITUTE(SUBSTITUTE(SUBSTITUTE(SUBSTITUTE(SUBSTITUTE(SUBSTITUTE(SUBSTITUTE(SUBSTITUTE(SUBSTITUTE(SUBSTITUTE(D21,"亚庇","Kota Kinabalu"),"公寓","Kondominium"),"排屋","Rumah Teres"),"别墅","Vila"),"店铺","Kedai"),"新山","Johor Bahru"),"市中心","Pusat Bandar"),"高级","Premium"),"单位","Unit"),"住宅","Kediaman"),"")</f>
        <v/>
      </c>
      <c r="R21" s="31" t="str">
        <f aca="false">IF(D21&lt;&gt;"","📍 "&amp;IF(E21&lt;&gt;"",E21&amp;"房","")&amp;IF(F21&lt;&gt;"",F21&amp;"卫 ","")&amp;IF(G21&lt;&gt;"",G21&amp;" sqft","")&amp;IF(AND(OR(E21&lt;&gt;"",G21&lt;&gt;""),H21&lt;&gt;"")," · ","")&amp;IF(H21&lt;&gt;"",H21,""),"")</f>
        <v/>
      </c>
      <c r="S21" s="31" t="str">
        <f aca="false">IF(D21&lt;&gt;"","📍 "&amp;IF(E21&lt;&gt;"",E21&amp;"BR ","")&amp;IF(F21&lt;&gt;"",F21&amp;"BA ","")&amp;IF(G21&lt;&gt;"",G21&amp;" sqft","")&amp;IF(AND(OR(E21&lt;&gt;"",G21&lt;&gt;""),H21&lt;&gt;"")," · ","")&amp;IF(H21&lt;&gt;"",SUBSTITUTE(SUBSTITUTE(SUBSTITUTE(SUBSTITUTE(SUBSTITUTE(SUBSTITUTE(SUBSTITUTE(SUBSTITUTE(SUBSTITUTE(SUBSTITUTE(H21,"游泳池","Swimming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1" s="31" t="str">
        <f aca="false">IF(D21&lt;&gt;"","📍 "&amp;IF(E21&lt;&gt;"",E21&amp;"Bilik ","")&amp;IF(F21&lt;&gt;"",F21&amp;"Bilik Air ","")&amp;IF(G21&lt;&gt;"",G21&amp;" sqft","")&amp;IF(AND(OR(E21&lt;&gt;"",G21&lt;&gt;""),H21&lt;&gt;"")," · ","")&amp;IF(H21&lt;&gt;"",SUBSTITUTE(SUBSTITUTE(SUBSTITUTE(SUBSTITUTE(SUBSTITUTE(SUBSTITUTE(SUBSTITUTE(SUBSTITUTE(SUBSTITUTE(SUBSTITUTE(H21,"游泳池","Kolam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1" s="32" t="str">
        <f aca="false">IF(OR(I21&lt;&gt;"",J21&lt;&gt;"",K21&lt;&gt;""),"🔒 "&amp;IF(I21&lt;&gt;"",I21,"")&amp;IF(AND(I21&lt;&gt;"",J21&lt;&gt;"")," · ","")&amp;IF(J21&lt;&gt;"",J21,"")&amp;IF(AND(OR(I21&lt;&gt;"",J21&lt;&gt;""),K21&lt;&gt;"")," · ","")&amp;IF(K21&lt;&gt;"",K21,""),"")</f>
        <v/>
      </c>
      <c r="V21" s="31" t="str">
        <f aca="false">IF(L21&lt;&gt;"","💰 起价 RM "&amp;TEXT(L21,"#,##0"),"")</f>
        <v/>
      </c>
      <c r="W21" s="31" t="str">
        <f aca="false">IF(L21&lt;&gt;"","💰 From RM "&amp;TEXT(L21,"#,##0"),"")</f>
        <v/>
      </c>
      <c r="X21" s="31" t="str">
        <f aca="false">IF(L21&lt;&gt;"","💰 Dari RM "&amp;TEXT(L21,"#,##0"),"")</f>
        <v/>
      </c>
      <c r="Y21" s="33" t="str">
        <f aca="false">IF(D21&lt;&gt;"","您好！我想咨询新楼盘：
🏠 "&amp;D21&amp;"
"&amp;IF(E21&lt;&gt;"","🛏 "&amp;E21&amp;"房"&amp;IF(F21&lt;&gt;""," "&amp;F21&amp;"卫","")&amp;"
","")&amp;IF(G21&lt;&gt;"","📐 "&amp;G21&amp;" sqft
","")&amp;IF(H21&lt;&gt;"","🏊 "&amp;H21&amp;"
","")&amp;IF(U21&lt;&gt;"",U21&amp;"
","")&amp;IF(L21&lt;&gt;"","💰 起价 RM "&amp;TEXT(L21,"#,##0")&amp;"
","")&amp;"
请问还有空档吗？谢谢！","")</f>
        <v/>
      </c>
      <c r="Z21" s="33" t="str">
        <f aca="false">IF(D21&lt;&gt;"","Hi! I'd like to make a new launch enquiry:
🏠 "&amp;P21&amp;"
"&amp;IF(E21&lt;&gt;"","🛏 "&amp;E21&amp;"BR"&amp;IF(F21&lt;&gt;""," "&amp;F21&amp;"BA","")&amp;"
","")&amp;IF(G21&lt;&gt;"","📐 "&amp;G21&amp;" sqft
","")&amp;IF(H21&lt;&gt;"","🏊 "&amp;SUBSTITUTE(SUBSTITUTE(SUBSTITUTE(SUBSTITUTE(SUBSTITUTE(SUBSTITUTE(SUBSTITUTE(SUBSTITUTE(SUBSTITUTE(SUBSTITUTE(H21,"游泳池","Swimming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Control"),""),"")&lt;&gt;"",IF(OR(I21&lt;&gt;"",J21&lt;&gt;"",K21&lt;&gt;""),"🔒 "&amp;IF(I21&lt;&gt;"",SUBSTITUTE(SUBSTITUTE(SUBSTITUTE(SUBSTITUTE(SUBSTITUTE(SUBSTITUTE(SUBSTITUTE(SUBSTITUTE(SUBSTITUTE(SUBSTITUTE(SUBSTITUTE(SUBSTITUTE(I21,"24小时保安","24hr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Control"),"")&amp;IF(AND(I21&lt;&gt;"",OR(J21&lt;&gt;"",K21&lt;&gt;""))," · ","")&amp;IF(J21&lt;&gt;"",SUBSTITUTE(SUBSTITUTE(SUBSTITUTE(SUBSTITUTE(SUBSTITUTE(SUBSTITUTE(SUBSTITUTE(SUBSTITUTE(SUBSTITUTE(SUBSTITUTE(SUBSTITUTE(SUBSTITUTE(J21,"24小时保安","24hr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Control"),"")&amp;IF(AND(J21&lt;&gt;"",K21&lt;&gt;"")," · ","")&amp;IF(K21&lt;&gt;"",SUBSTITUTE(SUBSTITUTE(SUBSTITUTE(SUBSTITUTE(SUBSTITUTE(SUBSTITUTE(SUBSTITUTE(SUBSTITUTE(SUBSTITUTE(SUBSTITUTE(SUBSTITUTE(SUBSTITUTE(K21,"24小时保安","24hr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","")&amp;IF(L21&lt;&gt;"","💰 From RM "&amp;TEXT(L21,"#,##0")&amp;"
","")&amp;"
Is this still available? Thank you!","")</f>
        <v/>
      </c>
      <c r="AA21" s="31"/>
      <c r="AB21" s="33" t="str">
        <f aca="false">IF(D21&lt;&gt;"","Helo! Saya ingin membuat pertanyaan projek baru:
🏠 "&amp;Q21&amp;"
"&amp;IF(E21&lt;&gt;"","🛏 "&amp;E21&amp;"Bilik"&amp;IF(F21&lt;&gt;""," "&amp;F21&amp;"Bilik Air","")&amp;"
","")&amp;IF(G21&lt;&gt;"","📐 "&amp;G21&amp;" sqft
","")&amp;IF(H21&lt;&gt;"","🏊 "&amp;SUBSTITUTE(SUBSTITUTE(SUBSTITUTE(SUBSTITUTE(SUBSTITUTE(SUBSTITUTE(SUBSTITUTE(SUBSTITUTE(SUBSTITUTE(SUBSTITUTE(H21,"游泳池","Kolam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Kawalan"),""),"")&lt;&gt;"",IF(OR(I21&lt;&gt;"",J21&lt;&gt;"",K21&lt;&gt;""),"🔒 "&amp;IF(I21&lt;&gt;"",SUBSTITUTE(SUBSTITUTE(SUBSTITUTE(SUBSTITUTE(SUBSTITUTE(SUBSTITUTE(SUBSTITUTE(SUBSTITUTE(SUBSTITUTE(SUBSTITUTE(SUBSTITUTE(SUBSTITUTE(I21,"24小时保安","Pengawal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Kawalan"),"")&amp;IF(AND(I21&lt;&gt;"",OR(J21&lt;&gt;"",K21&lt;&gt;""))," · ","")&amp;IF(J21&lt;&gt;"",SUBSTITUTE(SUBSTITUTE(SUBSTITUTE(SUBSTITUTE(SUBSTITUTE(SUBSTITUTE(SUBSTITUTE(SUBSTITUTE(SUBSTITUTE(SUBSTITUTE(SUBSTITUTE(SUBSTITUTE(J21,"24小时保安","Pengawal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Kawalan"),"")&amp;IF(AND(J21&lt;&gt;"",K21&lt;&gt;"")," · ","")&amp;IF(K21&lt;&gt;"",SUBSTITUTE(SUBSTITUTE(SUBSTITUTE(SUBSTITUTE(SUBSTITUTE(SUBSTITUTE(SUBSTITUTE(SUBSTITUTE(SUBSTITUTE(SUBSTITUTE(SUBSTITUTE(SUBSTITUTE(K21,"24小时保安","Pengawal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","")&amp;IF(L21&lt;&gt;"","💰 Dari RM "&amp;TEXT(L21,"#,##0")&amp;"
","")&amp;"
Adakah masih tersedia? Terima kasih!","")</f>
        <v/>
      </c>
    </row>
    <row r="22" customFormat="false" ht="51.7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9"/>
      <c r="J22" s="29"/>
      <c r="K22" s="29"/>
      <c r="L22" s="28"/>
      <c r="M22" s="30"/>
      <c r="N22" s="31" t="str">
        <f aca="false">IFERROR(ifs(B22="🏢 Condo 公寓","fa-building",B22="🏠 Apartment 单位","fa-home",B22="🌿 即租即住","fa-home",B22="🌿 近国际学校","fa-school",B22="📌 商业旺铺","fa-store",B22="🌟 海景豪宅","fa-water-ladder",B22="📈 投资优选","fa-chart-line",B22="🏞️ 花园住宅","fa-tree",B22="🌟 2026全新地标","fa-drafting-compass",B22="📈 海外投资优选","fa-globe",B22="🌆 核心地段","fa-city",B22="🔥 限时优惠","fa-fire",B22="✅ 永久产权","fa-certificate",B22="🏅 高回报","fa-medal",B22="🏖️ 度假胜地","fa-umbrella-beach",B22="🏫 学区优选","fa-graduation-cap",B22="🛣️ 交通便利","fa-road",B22="🔑 即买即住","fa-key"),"fa-home")</f>
        <v>fa-home</v>
      </c>
      <c r="O22" s="31" t="str">
        <f aca="false">IF(D22&lt;&gt;"",D22,"")</f>
        <v/>
      </c>
      <c r="P22" s="31" t="str">
        <f aca="false">IF(D22&lt;&gt;"",SUBSTITUTE(SUBSTITUTE(SUBSTITUTE(SUBSTITUTE(SUBSTITUTE(SUBSTITUTE(SUBSTITUTE(SUBSTITUTE(SUBSTITUTE(SUBSTITUTE(D22,"亚庇","Kota Kinabalu"),"公寓","Condo"),"排屋","Terrace"),"别墅","Villa"),"店铺","Shop"),"新山","Johor Bahru"),"市中心","City Centre"),"高级","Premium"),"单位","Unit"),"住宅","Residence"),"")</f>
        <v/>
      </c>
      <c r="Q22" s="31" t="str">
        <f aca="false">IF(D22&lt;&gt;"",SUBSTITUTE(SUBSTITUTE(SUBSTITUTE(SUBSTITUTE(SUBSTITUTE(SUBSTITUTE(SUBSTITUTE(SUBSTITUTE(SUBSTITUTE(SUBSTITUTE(D22,"亚庇","Kota Kinabalu"),"公寓","Kondominium"),"排屋","Rumah Teres"),"别墅","Vila"),"店铺","Kedai"),"新山","Johor Bahru"),"市中心","Pusat Bandar"),"高级","Premium"),"单位","Unit"),"住宅","Kediaman"),"")</f>
        <v/>
      </c>
      <c r="R22" s="31" t="str">
        <f aca="false">IF(D22&lt;&gt;"","📍 "&amp;IF(E22&lt;&gt;"",E22&amp;"房","")&amp;IF(F22&lt;&gt;"",F22&amp;"卫 ","")&amp;IF(G22&lt;&gt;"",G22&amp;" sqft","")&amp;IF(AND(OR(E22&lt;&gt;"",G22&lt;&gt;""),H22&lt;&gt;"")," · ","")&amp;IF(H22&lt;&gt;"",H22,""),"")</f>
        <v/>
      </c>
      <c r="S22" s="31" t="str">
        <f aca="false">IF(D22&lt;&gt;"","📍 "&amp;IF(E22&lt;&gt;"",E22&amp;"BR ","")&amp;IF(F22&lt;&gt;"",F22&amp;"BA ","")&amp;IF(G22&lt;&gt;"",G22&amp;" sqft","")&amp;IF(AND(OR(E22&lt;&gt;"",G22&lt;&gt;""),H22&lt;&gt;"")," · ","")&amp;IF(H22&lt;&gt;"",SUBSTITUTE(SUBSTITUTE(SUBSTITUTE(SUBSTITUTE(SUBSTITUTE(SUBSTITUTE(SUBSTITUTE(SUBSTITUTE(SUBSTITUTE(SUBSTITUTE(H22,"游泳池","Swimming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2" s="31" t="str">
        <f aca="false">IF(D22&lt;&gt;"","📍 "&amp;IF(E22&lt;&gt;"",E22&amp;"Bilik ","")&amp;IF(F22&lt;&gt;"",F22&amp;"Bilik Air ","")&amp;IF(G22&lt;&gt;"",G22&amp;" sqft","")&amp;IF(AND(OR(E22&lt;&gt;"",G22&lt;&gt;""),H22&lt;&gt;"")," · ","")&amp;IF(H22&lt;&gt;"",SUBSTITUTE(SUBSTITUTE(SUBSTITUTE(SUBSTITUTE(SUBSTITUTE(SUBSTITUTE(SUBSTITUTE(SUBSTITUTE(SUBSTITUTE(SUBSTITUTE(H22,"游泳池","Kolam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2" s="32" t="str">
        <f aca="false">IF(OR(I22&lt;&gt;"",J22&lt;&gt;"",K22&lt;&gt;""),"🔒 "&amp;IF(I22&lt;&gt;"",I22,"")&amp;IF(AND(I22&lt;&gt;"",J22&lt;&gt;"")," · ","")&amp;IF(J22&lt;&gt;"",J22,"")&amp;IF(AND(OR(I22&lt;&gt;"",J22&lt;&gt;""),K22&lt;&gt;"")," · ","")&amp;IF(K22&lt;&gt;"",K22,""),"")</f>
        <v/>
      </c>
      <c r="V22" s="31" t="str">
        <f aca="false">IF(L22&lt;&gt;"","💰 起价 RM "&amp;TEXT(L22,"#,##0"),"")</f>
        <v/>
      </c>
      <c r="W22" s="31" t="str">
        <f aca="false">IF(L22&lt;&gt;"","💰 From RM "&amp;TEXT(L22,"#,##0"),"")</f>
        <v/>
      </c>
      <c r="X22" s="31" t="str">
        <f aca="false">IF(L22&lt;&gt;"","💰 Dari RM "&amp;TEXT(L22,"#,##0"),"")</f>
        <v/>
      </c>
      <c r="Y22" s="33" t="str">
        <f aca="false">IF(D22&lt;&gt;"","您好！我想咨询新楼盘：
🏠 "&amp;D22&amp;"
"&amp;IF(E22&lt;&gt;"","🛏 "&amp;E22&amp;"房"&amp;IF(F22&lt;&gt;""," "&amp;F22&amp;"卫","")&amp;"
","")&amp;IF(G22&lt;&gt;"","📐 "&amp;G22&amp;" sqft
","")&amp;IF(H22&lt;&gt;"","🏊 "&amp;H22&amp;"
","")&amp;IF(U22&lt;&gt;"",U22&amp;"
","")&amp;IF(L22&lt;&gt;"","💰 起价 RM "&amp;TEXT(L22,"#,##0")&amp;"
","")&amp;"
请问还有空档吗？谢谢！","")</f>
        <v/>
      </c>
      <c r="Z22" s="33" t="str">
        <f aca="false">IF(D22&lt;&gt;"","Hi! I'd like to make a new launch enquiry:
🏠 "&amp;P22&amp;"
"&amp;IF(E22&lt;&gt;"","🛏 "&amp;E22&amp;"BR"&amp;IF(F22&lt;&gt;""," "&amp;F22&amp;"BA","")&amp;"
","")&amp;IF(G22&lt;&gt;"","📐 "&amp;G22&amp;" sqft
","")&amp;IF(H22&lt;&gt;"","🏊 "&amp;SUBSTITUTE(SUBSTITUTE(SUBSTITUTE(SUBSTITUTE(SUBSTITUTE(SUBSTITUTE(SUBSTITUTE(SUBSTITUTE(SUBSTITUTE(SUBSTITUTE(H22,"游泳池","Swimming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Control"),""),"")&lt;&gt;"",IF(OR(I22&lt;&gt;"",J22&lt;&gt;"",K22&lt;&gt;""),"🔒 "&amp;IF(I22&lt;&gt;"",SUBSTITUTE(SUBSTITUTE(SUBSTITUTE(SUBSTITUTE(SUBSTITUTE(SUBSTITUTE(SUBSTITUTE(SUBSTITUTE(SUBSTITUTE(SUBSTITUTE(SUBSTITUTE(SUBSTITUTE(I22,"24小时保安","24hr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Control"),"")&amp;IF(AND(I22&lt;&gt;"",OR(J22&lt;&gt;"",K22&lt;&gt;""))," · ","")&amp;IF(J22&lt;&gt;"",SUBSTITUTE(SUBSTITUTE(SUBSTITUTE(SUBSTITUTE(SUBSTITUTE(SUBSTITUTE(SUBSTITUTE(SUBSTITUTE(SUBSTITUTE(SUBSTITUTE(SUBSTITUTE(SUBSTITUTE(J22,"24小时保安","24hr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Control"),"")&amp;IF(AND(J22&lt;&gt;"",K22&lt;&gt;"")," · ","")&amp;IF(K22&lt;&gt;"",SUBSTITUTE(SUBSTITUTE(SUBSTITUTE(SUBSTITUTE(SUBSTITUTE(SUBSTITUTE(SUBSTITUTE(SUBSTITUTE(SUBSTITUTE(SUBSTITUTE(SUBSTITUTE(SUBSTITUTE(K22,"24小时保安","24hr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","")&amp;IF(L22&lt;&gt;"","💰 From RM "&amp;TEXT(L22,"#,##0")&amp;"
","")&amp;"
Is this still available? Thank you!","")</f>
        <v/>
      </c>
      <c r="AA22" s="31"/>
      <c r="AB22" s="33" t="str">
        <f aca="false">IF(D22&lt;&gt;"","Helo! Saya ingin membuat pertanyaan projek baru:
🏠 "&amp;Q22&amp;"
"&amp;IF(E22&lt;&gt;"","🛏 "&amp;E22&amp;"Bilik"&amp;IF(F22&lt;&gt;""," "&amp;F22&amp;"Bilik Air","")&amp;"
","")&amp;IF(G22&lt;&gt;"","📐 "&amp;G22&amp;" sqft
","")&amp;IF(H22&lt;&gt;"","🏊 "&amp;SUBSTITUTE(SUBSTITUTE(SUBSTITUTE(SUBSTITUTE(SUBSTITUTE(SUBSTITUTE(SUBSTITUTE(SUBSTITUTE(SUBSTITUTE(SUBSTITUTE(H22,"游泳池","Kolam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Kawalan"),""),"")&lt;&gt;"",IF(OR(I22&lt;&gt;"",J22&lt;&gt;"",K22&lt;&gt;""),"🔒 "&amp;IF(I22&lt;&gt;"",SUBSTITUTE(SUBSTITUTE(SUBSTITUTE(SUBSTITUTE(SUBSTITUTE(SUBSTITUTE(SUBSTITUTE(SUBSTITUTE(SUBSTITUTE(SUBSTITUTE(SUBSTITUTE(SUBSTITUTE(I22,"24小时保安","Pengawal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Kawalan"),"")&amp;IF(AND(I22&lt;&gt;"",OR(J22&lt;&gt;"",K22&lt;&gt;""))," · ","")&amp;IF(J22&lt;&gt;"",SUBSTITUTE(SUBSTITUTE(SUBSTITUTE(SUBSTITUTE(SUBSTITUTE(SUBSTITUTE(SUBSTITUTE(SUBSTITUTE(SUBSTITUTE(SUBSTITUTE(SUBSTITUTE(SUBSTITUTE(J22,"24小时保安","Pengawal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Kawalan"),"")&amp;IF(AND(J22&lt;&gt;"",K22&lt;&gt;"")," · ","")&amp;IF(K22&lt;&gt;"",SUBSTITUTE(SUBSTITUTE(SUBSTITUTE(SUBSTITUTE(SUBSTITUTE(SUBSTITUTE(SUBSTITUTE(SUBSTITUTE(SUBSTITUTE(SUBSTITUTE(SUBSTITUTE(SUBSTITUTE(K22,"24小时保安","Pengawal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","")&amp;IF(L22&lt;&gt;"","💰 Dari RM "&amp;TEXT(L22,"#,##0")&amp;"
","")&amp;"
Adakah masih tersedia? Terima kasih!","")</f>
        <v/>
      </c>
    </row>
    <row r="23" customFormat="false" ht="51.7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9"/>
      <c r="J23" s="29"/>
      <c r="K23" s="29"/>
      <c r="L23" s="28"/>
      <c r="M23" s="30"/>
      <c r="N23" s="31" t="str">
        <f aca="false">IFERROR(ifs(B23="🏢 Condo 公寓","fa-building",B23="🏠 Apartment 单位","fa-home",B23="🌿 即租即住","fa-home",B23="🌿 近国际学校","fa-school",B23="📌 商业旺铺","fa-store",B23="🌟 海景豪宅","fa-water-ladder",B23="📈 投资优选","fa-chart-line",B23="🏞️ 花园住宅","fa-tree",B23="🌟 2026全新地标","fa-drafting-compass",B23="📈 海外投资优选","fa-globe",B23="🌆 核心地段","fa-city",B23="🔥 限时优惠","fa-fire",B23="✅ 永久产权","fa-certificate",B23="🏅 高回报","fa-medal",B23="🏖️ 度假胜地","fa-umbrella-beach",B23="🏫 学区优选","fa-graduation-cap",B23="🛣️ 交通便利","fa-road",B23="🔑 即买即住","fa-key"),"fa-home")</f>
        <v>fa-home</v>
      </c>
      <c r="O23" s="31" t="str">
        <f aca="false">IF(D23&lt;&gt;"",D23,"")</f>
        <v/>
      </c>
      <c r="P23" s="31" t="str">
        <f aca="false">IF(D23&lt;&gt;"",SUBSTITUTE(SUBSTITUTE(SUBSTITUTE(SUBSTITUTE(SUBSTITUTE(SUBSTITUTE(SUBSTITUTE(SUBSTITUTE(SUBSTITUTE(SUBSTITUTE(D23,"亚庇","Kota Kinabalu"),"公寓","Condo"),"排屋","Terrace"),"别墅","Villa"),"店铺","Shop"),"新山","Johor Bahru"),"市中心","City Centre"),"高级","Premium"),"单位","Unit"),"住宅","Residence"),"")</f>
        <v/>
      </c>
      <c r="Q23" s="31" t="str">
        <f aca="false">IF(D23&lt;&gt;"",SUBSTITUTE(SUBSTITUTE(SUBSTITUTE(SUBSTITUTE(SUBSTITUTE(SUBSTITUTE(SUBSTITUTE(SUBSTITUTE(SUBSTITUTE(SUBSTITUTE(D23,"亚庇","Kota Kinabalu"),"公寓","Kondominium"),"排屋","Rumah Teres"),"别墅","Vila"),"店铺","Kedai"),"新山","Johor Bahru"),"市中心","Pusat Bandar"),"高级","Premium"),"单位","Unit"),"住宅","Kediaman"),"")</f>
        <v/>
      </c>
      <c r="R23" s="31" t="str">
        <f aca="false">IF(D23&lt;&gt;"","📍 "&amp;IF(E23&lt;&gt;"",E23&amp;"房","")&amp;IF(F23&lt;&gt;"",F23&amp;"卫 ","")&amp;IF(G23&lt;&gt;"",G23&amp;" sqft","")&amp;IF(AND(OR(E23&lt;&gt;"",G23&lt;&gt;""),H23&lt;&gt;"")," · ","")&amp;IF(H23&lt;&gt;"",H23,""),"")</f>
        <v/>
      </c>
      <c r="S23" s="31" t="str">
        <f aca="false">IF(D23&lt;&gt;"","📍 "&amp;IF(E23&lt;&gt;"",E23&amp;"BR ","")&amp;IF(F23&lt;&gt;"",F23&amp;"BA ","")&amp;IF(G23&lt;&gt;"",G23&amp;" sqft","")&amp;IF(AND(OR(E23&lt;&gt;"",G23&lt;&gt;""),H23&lt;&gt;"")," · ","")&amp;IF(H23&lt;&gt;"",SUBSTITUTE(SUBSTITUTE(SUBSTITUTE(SUBSTITUTE(SUBSTITUTE(SUBSTITUTE(SUBSTITUTE(SUBSTITUTE(SUBSTITUTE(SUBSTITUTE(H23,"游泳池","Swimming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3" s="31" t="str">
        <f aca="false">IF(D23&lt;&gt;"","📍 "&amp;IF(E23&lt;&gt;"",E23&amp;"Bilik ","")&amp;IF(F23&lt;&gt;"",F23&amp;"Bilik Air ","")&amp;IF(G23&lt;&gt;"",G23&amp;" sqft","")&amp;IF(AND(OR(E23&lt;&gt;"",G23&lt;&gt;""),H23&lt;&gt;"")," · ","")&amp;IF(H23&lt;&gt;"",SUBSTITUTE(SUBSTITUTE(SUBSTITUTE(SUBSTITUTE(SUBSTITUTE(SUBSTITUTE(SUBSTITUTE(SUBSTITUTE(SUBSTITUTE(SUBSTITUTE(H23,"游泳池","Kolam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3" s="32" t="str">
        <f aca="false">IF(OR(I23&lt;&gt;"",J23&lt;&gt;"",K23&lt;&gt;""),"🔒 "&amp;IF(I23&lt;&gt;"",I23,"")&amp;IF(AND(I23&lt;&gt;"",J23&lt;&gt;"")," · ","")&amp;IF(J23&lt;&gt;"",J23,"")&amp;IF(AND(OR(I23&lt;&gt;"",J23&lt;&gt;""),K23&lt;&gt;"")," · ","")&amp;IF(K23&lt;&gt;"",K23,""),"")</f>
        <v/>
      </c>
      <c r="V23" s="31" t="str">
        <f aca="false">IF(L23&lt;&gt;"","💰 起价 RM "&amp;TEXT(L23,"#,##0"),"")</f>
        <v/>
      </c>
      <c r="W23" s="31" t="str">
        <f aca="false">IF(L23&lt;&gt;"","💰 From RM "&amp;TEXT(L23,"#,##0"),"")</f>
        <v/>
      </c>
      <c r="X23" s="31" t="str">
        <f aca="false">IF(L23&lt;&gt;"","💰 Dari RM "&amp;TEXT(L23,"#,##0"),"")</f>
        <v/>
      </c>
      <c r="Y23" s="33" t="str">
        <f aca="false">IF(D23&lt;&gt;"","您好！我想咨询新楼盘：
🏠 "&amp;D23&amp;"
"&amp;IF(E23&lt;&gt;"","🛏 "&amp;E23&amp;"房"&amp;IF(F23&lt;&gt;""," "&amp;F23&amp;"卫","")&amp;"
","")&amp;IF(G23&lt;&gt;"","📐 "&amp;G23&amp;" sqft
","")&amp;IF(H23&lt;&gt;"","🏊 "&amp;H23&amp;"
","")&amp;IF(U23&lt;&gt;"",U23&amp;"
","")&amp;IF(L23&lt;&gt;"","💰 起价 RM "&amp;TEXT(L23,"#,##0")&amp;"
","")&amp;"
请问还有空档吗？谢谢！","")</f>
        <v/>
      </c>
      <c r="Z23" s="33" t="str">
        <f aca="false">IF(D23&lt;&gt;"","Hi! I'd like to make a new launch enquiry:
🏠 "&amp;P23&amp;"
"&amp;IF(E23&lt;&gt;"","🛏 "&amp;E23&amp;"BR"&amp;IF(F23&lt;&gt;""," "&amp;F23&amp;"BA","")&amp;"
","")&amp;IF(G23&lt;&gt;"","📐 "&amp;G23&amp;" sqft
","")&amp;IF(H23&lt;&gt;"","🏊 "&amp;SUBSTITUTE(SUBSTITUTE(SUBSTITUTE(SUBSTITUTE(SUBSTITUTE(SUBSTITUTE(SUBSTITUTE(SUBSTITUTE(SUBSTITUTE(SUBSTITUTE(H23,"游泳池","Swimming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Control"),""),"")&lt;&gt;"",IF(OR(I23&lt;&gt;"",J23&lt;&gt;"",K23&lt;&gt;""),"🔒 "&amp;IF(I23&lt;&gt;"",SUBSTITUTE(SUBSTITUTE(SUBSTITUTE(SUBSTITUTE(SUBSTITUTE(SUBSTITUTE(SUBSTITUTE(SUBSTITUTE(SUBSTITUTE(SUBSTITUTE(SUBSTITUTE(SUBSTITUTE(I23,"24小时保安","24hr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Control"),"")&amp;IF(AND(I23&lt;&gt;"",OR(J23&lt;&gt;"",K23&lt;&gt;""))," · ","")&amp;IF(J23&lt;&gt;"",SUBSTITUTE(SUBSTITUTE(SUBSTITUTE(SUBSTITUTE(SUBSTITUTE(SUBSTITUTE(SUBSTITUTE(SUBSTITUTE(SUBSTITUTE(SUBSTITUTE(SUBSTITUTE(SUBSTITUTE(J23,"24小时保安","24hr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Control"),"")&amp;IF(AND(J23&lt;&gt;"",K23&lt;&gt;"")," · ","")&amp;IF(K23&lt;&gt;"",SUBSTITUTE(SUBSTITUTE(SUBSTITUTE(SUBSTITUTE(SUBSTITUTE(SUBSTITUTE(SUBSTITUTE(SUBSTITUTE(SUBSTITUTE(SUBSTITUTE(SUBSTITUTE(SUBSTITUTE(K23,"24小时保安","24hr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","")&amp;IF(L23&lt;&gt;"","💰 From RM "&amp;TEXT(L23,"#,##0")&amp;"
","")&amp;"
Is this still available? Thank you!","")</f>
        <v/>
      </c>
      <c r="AA23" s="31"/>
      <c r="AB23" s="33" t="str">
        <f aca="false">IF(D23&lt;&gt;"","Helo! Saya ingin membuat pertanyaan projek baru:
🏠 "&amp;Q23&amp;"
"&amp;IF(E23&lt;&gt;"","🛏 "&amp;E23&amp;"Bilik"&amp;IF(F23&lt;&gt;""," "&amp;F23&amp;"Bilik Air","")&amp;"
","")&amp;IF(G23&lt;&gt;"","📐 "&amp;G23&amp;" sqft
","")&amp;IF(H23&lt;&gt;"","🏊 "&amp;SUBSTITUTE(SUBSTITUTE(SUBSTITUTE(SUBSTITUTE(SUBSTITUTE(SUBSTITUTE(SUBSTITUTE(SUBSTITUTE(SUBSTITUTE(SUBSTITUTE(H23,"游泳池","Kolam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Kawalan"),""),"")&lt;&gt;"",IF(OR(I23&lt;&gt;"",J23&lt;&gt;"",K23&lt;&gt;""),"🔒 "&amp;IF(I23&lt;&gt;"",SUBSTITUTE(SUBSTITUTE(SUBSTITUTE(SUBSTITUTE(SUBSTITUTE(SUBSTITUTE(SUBSTITUTE(SUBSTITUTE(SUBSTITUTE(SUBSTITUTE(SUBSTITUTE(SUBSTITUTE(I23,"24小时保安","Pengawal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Kawalan"),"")&amp;IF(AND(I23&lt;&gt;"",OR(J23&lt;&gt;"",K23&lt;&gt;""))," · ","")&amp;IF(J23&lt;&gt;"",SUBSTITUTE(SUBSTITUTE(SUBSTITUTE(SUBSTITUTE(SUBSTITUTE(SUBSTITUTE(SUBSTITUTE(SUBSTITUTE(SUBSTITUTE(SUBSTITUTE(SUBSTITUTE(SUBSTITUTE(J23,"24小时保安","Pengawal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Kawalan"),"")&amp;IF(AND(J23&lt;&gt;"",K23&lt;&gt;"")," · ","")&amp;IF(K23&lt;&gt;"",SUBSTITUTE(SUBSTITUTE(SUBSTITUTE(SUBSTITUTE(SUBSTITUTE(SUBSTITUTE(SUBSTITUTE(SUBSTITUTE(SUBSTITUTE(SUBSTITUTE(SUBSTITUTE(SUBSTITUTE(K23,"24小时保安","Pengawal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","")&amp;IF(L23&lt;&gt;"","💰 Dari RM "&amp;TEXT(L23,"#,##0")&amp;"
","")&amp;"
Adakah masih tersedia? Terima kasih!","")</f>
        <v/>
      </c>
    </row>
    <row r="24" customFormat="false" ht="51.7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9"/>
      <c r="J24" s="29"/>
      <c r="K24" s="29"/>
      <c r="L24" s="28"/>
      <c r="M24" s="30"/>
      <c r="N24" s="31" t="str">
        <f aca="false">IFERROR(ifs(B24="🏢 Condo 公寓","fa-building",B24="🏠 Apartment 单位","fa-home",B24="🌿 即租即住","fa-home",B24="🌿 近国际学校","fa-school",B24="📌 商业旺铺","fa-store",B24="🌟 海景豪宅","fa-water-ladder",B24="📈 投资优选","fa-chart-line",B24="🏞️ 花园住宅","fa-tree",B24="🌟 2026全新地标","fa-drafting-compass",B24="📈 海外投资优选","fa-globe",B24="🌆 核心地段","fa-city",B24="🔥 限时优惠","fa-fire",B24="✅ 永久产权","fa-certificate",B24="🏅 高回报","fa-medal",B24="🏖️ 度假胜地","fa-umbrella-beach",B24="🏫 学区优选","fa-graduation-cap",B24="🛣️ 交通便利","fa-road",B24="🔑 即买即住","fa-key"),"fa-home")</f>
        <v>fa-home</v>
      </c>
      <c r="O24" s="31" t="str">
        <f aca="false">IF(D24&lt;&gt;"",D24,"")</f>
        <v/>
      </c>
      <c r="P24" s="31" t="str">
        <f aca="false">IF(D24&lt;&gt;"",SUBSTITUTE(SUBSTITUTE(SUBSTITUTE(SUBSTITUTE(SUBSTITUTE(SUBSTITUTE(SUBSTITUTE(SUBSTITUTE(SUBSTITUTE(SUBSTITUTE(D24,"亚庇","Kota Kinabalu"),"公寓","Condo"),"排屋","Terrace"),"别墅","Villa"),"店铺","Shop"),"新山","Johor Bahru"),"市中心","City Centre"),"高级","Premium"),"单位","Unit"),"住宅","Residence"),"")</f>
        <v/>
      </c>
      <c r="Q24" s="31" t="str">
        <f aca="false">IF(D24&lt;&gt;"",SUBSTITUTE(SUBSTITUTE(SUBSTITUTE(SUBSTITUTE(SUBSTITUTE(SUBSTITUTE(SUBSTITUTE(SUBSTITUTE(SUBSTITUTE(SUBSTITUTE(D24,"亚庇","Kota Kinabalu"),"公寓","Kondominium"),"排屋","Rumah Teres"),"别墅","Vila"),"店铺","Kedai"),"新山","Johor Bahru"),"市中心","Pusat Bandar"),"高级","Premium"),"单位","Unit"),"住宅","Kediaman"),"")</f>
        <v/>
      </c>
      <c r="R24" s="31" t="str">
        <f aca="false">IF(D24&lt;&gt;"","📍 "&amp;IF(E24&lt;&gt;"",E24&amp;"房","")&amp;IF(F24&lt;&gt;"",F24&amp;"卫 ","")&amp;IF(G24&lt;&gt;"",G24&amp;" sqft","")&amp;IF(AND(OR(E24&lt;&gt;"",G24&lt;&gt;""),H24&lt;&gt;"")," · ","")&amp;IF(H24&lt;&gt;"",H24,""),"")</f>
        <v/>
      </c>
      <c r="S24" s="31" t="str">
        <f aca="false">IF(D24&lt;&gt;"","📍 "&amp;IF(E24&lt;&gt;"",E24&amp;"BR ","")&amp;IF(F24&lt;&gt;"",F24&amp;"BA ","")&amp;IF(G24&lt;&gt;"",G24&amp;" sqft","")&amp;IF(AND(OR(E24&lt;&gt;"",G24&lt;&gt;""),H24&lt;&gt;"")," · ","")&amp;IF(H24&lt;&gt;"",SUBSTITUTE(SUBSTITUTE(SUBSTITUTE(SUBSTITUTE(SUBSTITUTE(SUBSTITUTE(SUBSTITUTE(SUBSTITUTE(SUBSTITUTE(SUBSTITUTE(H24,"游泳池","Swimming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4" s="31" t="str">
        <f aca="false">IF(D24&lt;&gt;"","📍 "&amp;IF(E24&lt;&gt;"",E24&amp;"Bilik ","")&amp;IF(F24&lt;&gt;"",F24&amp;"Bilik Air ","")&amp;IF(G24&lt;&gt;"",G24&amp;" sqft","")&amp;IF(AND(OR(E24&lt;&gt;"",G24&lt;&gt;""),H24&lt;&gt;"")," · ","")&amp;IF(H24&lt;&gt;"",SUBSTITUTE(SUBSTITUTE(SUBSTITUTE(SUBSTITUTE(SUBSTITUTE(SUBSTITUTE(SUBSTITUTE(SUBSTITUTE(SUBSTITUTE(SUBSTITUTE(H24,"游泳池","Kolam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4" s="32" t="str">
        <f aca="false">IF(OR(I24&lt;&gt;"",J24&lt;&gt;"",K24&lt;&gt;""),"🔒 "&amp;IF(I24&lt;&gt;"",I24,"")&amp;IF(AND(I24&lt;&gt;"",J24&lt;&gt;"")," · ","")&amp;IF(J24&lt;&gt;"",J24,"")&amp;IF(AND(OR(I24&lt;&gt;"",J24&lt;&gt;""),K24&lt;&gt;"")," · ","")&amp;IF(K24&lt;&gt;"",K24,""),"")</f>
        <v/>
      </c>
      <c r="V24" s="31" t="str">
        <f aca="false">IF(L24&lt;&gt;"","💰 起价 RM "&amp;TEXT(L24,"#,##0"),"")</f>
        <v/>
      </c>
      <c r="W24" s="31" t="str">
        <f aca="false">IF(L24&lt;&gt;"","💰 From RM "&amp;TEXT(L24,"#,##0"),"")</f>
        <v/>
      </c>
      <c r="X24" s="31" t="str">
        <f aca="false">IF(L24&lt;&gt;"","💰 Dari RM "&amp;TEXT(L24,"#,##0"),"")</f>
        <v/>
      </c>
      <c r="Y24" s="33" t="str">
        <f aca="false">IF(D24&lt;&gt;"","您好！我想咨询新楼盘：
🏠 "&amp;D24&amp;"
"&amp;IF(E24&lt;&gt;"","🛏 "&amp;E24&amp;"房"&amp;IF(F24&lt;&gt;""," "&amp;F24&amp;"卫","")&amp;"
","")&amp;IF(G24&lt;&gt;"","📐 "&amp;G24&amp;" sqft
","")&amp;IF(H24&lt;&gt;"","🏊 "&amp;H24&amp;"
","")&amp;IF(U24&lt;&gt;"",U24&amp;"
","")&amp;IF(L24&lt;&gt;"","💰 起价 RM "&amp;TEXT(L24,"#,##0")&amp;"
","")&amp;"
请问还有空档吗？谢谢！","")</f>
        <v/>
      </c>
      <c r="Z24" s="33" t="str">
        <f aca="false">IF(D24&lt;&gt;"","Hi! I'd like to make a new launch enquiry:
🏠 "&amp;P24&amp;"
"&amp;IF(E24&lt;&gt;"","🛏 "&amp;E24&amp;"BR"&amp;IF(F24&lt;&gt;""," "&amp;F24&amp;"BA","")&amp;"
","")&amp;IF(G24&lt;&gt;"","📐 "&amp;G24&amp;" sqft
","")&amp;IF(H24&lt;&gt;"","🏊 "&amp;SUBSTITUTE(SUBSTITUTE(SUBSTITUTE(SUBSTITUTE(SUBSTITUTE(SUBSTITUTE(SUBSTITUTE(SUBSTITUTE(SUBSTITUTE(SUBSTITUTE(H24,"游泳池","Swimming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Control"),""),"")&lt;&gt;"",IF(OR(I24&lt;&gt;"",J24&lt;&gt;"",K24&lt;&gt;""),"🔒 "&amp;IF(I24&lt;&gt;"",SUBSTITUTE(SUBSTITUTE(SUBSTITUTE(SUBSTITUTE(SUBSTITUTE(SUBSTITUTE(SUBSTITUTE(SUBSTITUTE(SUBSTITUTE(SUBSTITUTE(SUBSTITUTE(SUBSTITUTE(I24,"24小时保安","24hr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Control"),"")&amp;IF(AND(I24&lt;&gt;"",OR(J24&lt;&gt;"",K24&lt;&gt;""))," · ","")&amp;IF(J24&lt;&gt;"",SUBSTITUTE(SUBSTITUTE(SUBSTITUTE(SUBSTITUTE(SUBSTITUTE(SUBSTITUTE(SUBSTITUTE(SUBSTITUTE(SUBSTITUTE(SUBSTITUTE(SUBSTITUTE(SUBSTITUTE(J24,"24小时保安","24hr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Control"),"")&amp;IF(AND(J24&lt;&gt;"",K24&lt;&gt;"")," · ","")&amp;IF(K24&lt;&gt;"",SUBSTITUTE(SUBSTITUTE(SUBSTITUTE(SUBSTITUTE(SUBSTITUTE(SUBSTITUTE(SUBSTITUTE(SUBSTITUTE(SUBSTITUTE(SUBSTITUTE(SUBSTITUTE(SUBSTITUTE(K24,"24小时保安","24hr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","")&amp;IF(L24&lt;&gt;"","💰 From RM "&amp;TEXT(L24,"#,##0")&amp;"
","")&amp;"
Is this still available? Thank you!","")</f>
        <v/>
      </c>
      <c r="AA24" s="31"/>
      <c r="AB24" s="33" t="str">
        <f aca="false">IF(D24&lt;&gt;"","Helo! Saya ingin membuat pertanyaan projek baru:
🏠 "&amp;Q24&amp;"
"&amp;IF(E24&lt;&gt;"","🛏 "&amp;E24&amp;"Bilik"&amp;IF(F24&lt;&gt;""," "&amp;F24&amp;"Bilik Air","")&amp;"
","")&amp;IF(G24&lt;&gt;"","📐 "&amp;G24&amp;" sqft
","")&amp;IF(H24&lt;&gt;"","🏊 "&amp;SUBSTITUTE(SUBSTITUTE(SUBSTITUTE(SUBSTITUTE(SUBSTITUTE(SUBSTITUTE(SUBSTITUTE(SUBSTITUTE(SUBSTITUTE(SUBSTITUTE(H24,"游泳池","Kolam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Kawalan"),""),"")&lt;&gt;"",IF(OR(I24&lt;&gt;"",J24&lt;&gt;"",K24&lt;&gt;""),"🔒 "&amp;IF(I24&lt;&gt;"",SUBSTITUTE(SUBSTITUTE(SUBSTITUTE(SUBSTITUTE(SUBSTITUTE(SUBSTITUTE(SUBSTITUTE(SUBSTITUTE(SUBSTITUTE(SUBSTITUTE(SUBSTITUTE(SUBSTITUTE(I24,"24小时保安","Pengawal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Kawalan"),"")&amp;IF(AND(I24&lt;&gt;"",OR(J24&lt;&gt;"",K24&lt;&gt;""))," · ","")&amp;IF(J24&lt;&gt;"",SUBSTITUTE(SUBSTITUTE(SUBSTITUTE(SUBSTITUTE(SUBSTITUTE(SUBSTITUTE(SUBSTITUTE(SUBSTITUTE(SUBSTITUTE(SUBSTITUTE(SUBSTITUTE(SUBSTITUTE(J24,"24小时保安","Pengawal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Kawalan"),"")&amp;IF(AND(J24&lt;&gt;"",K24&lt;&gt;"")," · ","")&amp;IF(K24&lt;&gt;"",SUBSTITUTE(SUBSTITUTE(SUBSTITUTE(SUBSTITUTE(SUBSTITUTE(SUBSTITUTE(SUBSTITUTE(SUBSTITUTE(SUBSTITUTE(SUBSTITUTE(SUBSTITUTE(SUBSTITUTE(K24,"24小时保安","Pengawal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","")&amp;IF(L24&lt;&gt;"","💰 Dari RM "&amp;TEXT(L24,"#,##0")&amp;"
","")&amp;"
Adakah masih tersedia? Terima kasih!","")</f>
        <v/>
      </c>
    </row>
    <row r="25" customFormat="false" ht="51.7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9"/>
      <c r="J25" s="29"/>
      <c r="K25" s="29"/>
      <c r="L25" s="28"/>
      <c r="M25" s="30"/>
      <c r="N25" s="31" t="str">
        <f aca="false">IFERROR(ifs(B25="🏢 Condo 公寓","fa-building",B25="🏠 Apartment 单位","fa-home",B25="🌿 即租即住","fa-home",B25="🌿 近国际学校","fa-school",B25="📌 商业旺铺","fa-store",B25="🌟 海景豪宅","fa-water-ladder",B25="📈 投资优选","fa-chart-line",B25="🏞️ 花园住宅","fa-tree",B25="🌟 2026全新地标","fa-drafting-compass",B25="📈 海外投资优选","fa-globe",B25="🌆 核心地段","fa-city",B25="🔥 限时优惠","fa-fire",B25="✅ 永久产权","fa-certificate",B25="🏅 高回报","fa-medal",B25="🏖️ 度假胜地","fa-umbrella-beach",B25="🏫 学区优选","fa-graduation-cap",B25="🛣️ 交通便利","fa-road",B25="🔑 即买即住","fa-key"),"fa-home")</f>
        <v>fa-home</v>
      </c>
      <c r="O25" s="31" t="str">
        <f aca="false">IF(D25&lt;&gt;"",D25,"")</f>
        <v/>
      </c>
      <c r="P25" s="31" t="str">
        <f aca="false">IF(D25&lt;&gt;"",SUBSTITUTE(SUBSTITUTE(SUBSTITUTE(SUBSTITUTE(SUBSTITUTE(SUBSTITUTE(SUBSTITUTE(SUBSTITUTE(SUBSTITUTE(SUBSTITUTE(D25,"亚庇","Kota Kinabalu"),"公寓","Condo"),"排屋","Terrace"),"别墅","Villa"),"店铺","Shop"),"新山","Johor Bahru"),"市中心","City Centre"),"高级","Premium"),"单位","Unit"),"住宅","Residence"),"")</f>
        <v/>
      </c>
      <c r="Q25" s="31" t="str">
        <f aca="false">IF(D25&lt;&gt;"",SUBSTITUTE(SUBSTITUTE(SUBSTITUTE(SUBSTITUTE(SUBSTITUTE(SUBSTITUTE(SUBSTITUTE(SUBSTITUTE(SUBSTITUTE(SUBSTITUTE(D25,"亚庇","Kota Kinabalu"),"公寓","Kondominium"),"排屋","Rumah Teres"),"别墅","Vila"),"店铺","Kedai"),"新山","Johor Bahru"),"市中心","Pusat Bandar"),"高级","Premium"),"单位","Unit"),"住宅","Kediaman"),"")</f>
        <v/>
      </c>
      <c r="R25" s="31" t="str">
        <f aca="false">IF(D25&lt;&gt;"","📍 "&amp;IF(E25&lt;&gt;"",E25&amp;"房","")&amp;IF(F25&lt;&gt;"",F25&amp;"卫 ","")&amp;IF(G25&lt;&gt;"",G25&amp;" sqft","")&amp;IF(AND(OR(E25&lt;&gt;"",G25&lt;&gt;""),H25&lt;&gt;"")," · ","")&amp;IF(H25&lt;&gt;"",H25,""),"")</f>
        <v/>
      </c>
      <c r="S25" s="31" t="str">
        <f aca="false">IF(D25&lt;&gt;"","📍 "&amp;IF(E25&lt;&gt;"",E25&amp;"BR ","")&amp;IF(F25&lt;&gt;"",F25&amp;"BA ","")&amp;IF(G25&lt;&gt;"",G25&amp;" sqft","")&amp;IF(AND(OR(E25&lt;&gt;"",G25&lt;&gt;""),H25&lt;&gt;"")," · ","")&amp;IF(H25&lt;&gt;"",SUBSTITUTE(SUBSTITUTE(SUBSTITUTE(SUBSTITUTE(SUBSTITUTE(SUBSTITUTE(SUBSTITUTE(SUBSTITUTE(SUBSTITUTE(SUBSTITUTE(H25,"游泳池","Swimming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5" s="31" t="str">
        <f aca="false">IF(D25&lt;&gt;"","📍 "&amp;IF(E25&lt;&gt;"",E25&amp;"Bilik ","")&amp;IF(F25&lt;&gt;"",F25&amp;"Bilik Air ","")&amp;IF(G25&lt;&gt;"",G25&amp;" sqft","")&amp;IF(AND(OR(E25&lt;&gt;"",G25&lt;&gt;""),H25&lt;&gt;"")," · ","")&amp;IF(H25&lt;&gt;"",SUBSTITUTE(SUBSTITUTE(SUBSTITUTE(SUBSTITUTE(SUBSTITUTE(SUBSTITUTE(SUBSTITUTE(SUBSTITUTE(SUBSTITUTE(SUBSTITUTE(H25,"游泳池","Kolam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5" s="32" t="str">
        <f aca="false">IF(OR(I25&lt;&gt;"",J25&lt;&gt;"",K25&lt;&gt;""),"🔒 "&amp;IF(I25&lt;&gt;"",I25,"")&amp;IF(AND(I25&lt;&gt;"",J25&lt;&gt;"")," · ","")&amp;IF(J25&lt;&gt;"",J25,"")&amp;IF(AND(OR(I25&lt;&gt;"",J25&lt;&gt;""),K25&lt;&gt;"")," · ","")&amp;IF(K25&lt;&gt;"",K25,""),"")</f>
        <v/>
      </c>
      <c r="V25" s="31" t="str">
        <f aca="false">IF(L25&lt;&gt;"","💰 起价 RM "&amp;TEXT(L25,"#,##0"),"")</f>
        <v/>
      </c>
      <c r="W25" s="31" t="str">
        <f aca="false">IF(L25&lt;&gt;"","💰 From RM "&amp;TEXT(L25,"#,##0"),"")</f>
        <v/>
      </c>
      <c r="X25" s="31" t="str">
        <f aca="false">IF(L25&lt;&gt;"","💰 Dari RM "&amp;TEXT(L25,"#,##0"),"")</f>
        <v/>
      </c>
      <c r="Y25" s="33" t="str">
        <f aca="false">IF(D25&lt;&gt;"","您好！我想咨询新楼盘：
🏠 "&amp;D25&amp;"
"&amp;IF(E25&lt;&gt;"","🛏 "&amp;E25&amp;"房"&amp;IF(F25&lt;&gt;""," "&amp;F25&amp;"卫","")&amp;"
","")&amp;IF(G25&lt;&gt;"","📐 "&amp;G25&amp;" sqft
","")&amp;IF(H25&lt;&gt;"","🏊 "&amp;H25&amp;"
","")&amp;IF(U25&lt;&gt;"",U25&amp;"
","")&amp;IF(L25&lt;&gt;"","💰 起价 RM "&amp;TEXT(L25,"#,##0")&amp;"
","")&amp;"
请问还有空档吗？谢谢！","")</f>
        <v/>
      </c>
      <c r="Z25" s="33" t="str">
        <f aca="false">IF(D25&lt;&gt;"","Hi! I'd like to make a new launch enquiry:
🏠 "&amp;P25&amp;"
"&amp;IF(E25&lt;&gt;"","🛏 "&amp;E25&amp;"BR"&amp;IF(F25&lt;&gt;""," "&amp;F25&amp;"BA","")&amp;"
","")&amp;IF(G25&lt;&gt;"","📐 "&amp;G25&amp;" sqft
","")&amp;IF(H25&lt;&gt;"","🏊 "&amp;SUBSTITUTE(SUBSTITUTE(SUBSTITUTE(SUBSTITUTE(SUBSTITUTE(SUBSTITUTE(SUBSTITUTE(SUBSTITUTE(SUBSTITUTE(SUBSTITUTE(H25,"游泳池","Swimming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Control"),""),"")&lt;&gt;"",IF(OR(I25&lt;&gt;"",J25&lt;&gt;"",K25&lt;&gt;""),"🔒 "&amp;IF(I25&lt;&gt;"",SUBSTITUTE(SUBSTITUTE(SUBSTITUTE(SUBSTITUTE(SUBSTITUTE(SUBSTITUTE(SUBSTITUTE(SUBSTITUTE(SUBSTITUTE(SUBSTITUTE(SUBSTITUTE(SUBSTITUTE(I25,"24小时保安","24hr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Control"),"")&amp;IF(AND(I25&lt;&gt;"",OR(J25&lt;&gt;"",K25&lt;&gt;""))," · ","")&amp;IF(J25&lt;&gt;"",SUBSTITUTE(SUBSTITUTE(SUBSTITUTE(SUBSTITUTE(SUBSTITUTE(SUBSTITUTE(SUBSTITUTE(SUBSTITUTE(SUBSTITUTE(SUBSTITUTE(SUBSTITUTE(SUBSTITUTE(J25,"24小时保安","24hr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Control"),"")&amp;IF(AND(J25&lt;&gt;"",K25&lt;&gt;"")," · ","")&amp;IF(K25&lt;&gt;"",SUBSTITUTE(SUBSTITUTE(SUBSTITUTE(SUBSTITUTE(SUBSTITUTE(SUBSTITUTE(SUBSTITUTE(SUBSTITUTE(SUBSTITUTE(SUBSTITUTE(SUBSTITUTE(SUBSTITUTE(K25,"24小时保安","24hr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","")&amp;IF(L25&lt;&gt;"","💰 From RM "&amp;TEXT(L25,"#,##0")&amp;"
","")&amp;"
Is this still available? Thank you!","")</f>
        <v/>
      </c>
      <c r="AA25" s="31"/>
      <c r="AB25" s="33" t="str">
        <f aca="false">IF(D25&lt;&gt;"","Helo! Saya ingin membuat pertanyaan projek baru:
🏠 "&amp;Q25&amp;"
"&amp;IF(E25&lt;&gt;"","🛏 "&amp;E25&amp;"Bilik"&amp;IF(F25&lt;&gt;""," "&amp;F25&amp;"Bilik Air","")&amp;"
","")&amp;IF(G25&lt;&gt;"","📐 "&amp;G25&amp;" sqft
","")&amp;IF(H25&lt;&gt;"","🏊 "&amp;SUBSTITUTE(SUBSTITUTE(SUBSTITUTE(SUBSTITUTE(SUBSTITUTE(SUBSTITUTE(SUBSTITUTE(SUBSTITUTE(SUBSTITUTE(SUBSTITUTE(H25,"游泳池","Kolam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Kawalan"),""),"")&lt;&gt;"",IF(OR(I25&lt;&gt;"",J25&lt;&gt;"",K25&lt;&gt;""),"🔒 "&amp;IF(I25&lt;&gt;"",SUBSTITUTE(SUBSTITUTE(SUBSTITUTE(SUBSTITUTE(SUBSTITUTE(SUBSTITUTE(SUBSTITUTE(SUBSTITUTE(SUBSTITUTE(SUBSTITUTE(SUBSTITUTE(SUBSTITUTE(I25,"24小时保安","Pengawal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Kawalan"),"")&amp;IF(AND(I25&lt;&gt;"",OR(J25&lt;&gt;"",K25&lt;&gt;""))," · ","")&amp;IF(J25&lt;&gt;"",SUBSTITUTE(SUBSTITUTE(SUBSTITUTE(SUBSTITUTE(SUBSTITUTE(SUBSTITUTE(SUBSTITUTE(SUBSTITUTE(SUBSTITUTE(SUBSTITUTE(SUBSTITUTE(SUBSTITUTE(J25,"24小时保安","Pengawal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Kawalan"),"")&amp;IF(AND(J25&lt;&gt;"",K25&lt;&gt;"")," · ","")&amp;IF(K25&lt;&gt;"",SUBSTITUTE(SUBSTITUTE(SUBSTITUTE(SUBSTITUTE(SUBSTITUTE(SUBSTITUTE(SUBSTITUTE(SUBSTITUTE(SUBSTITUTE(SUBSTITUTE(SUBSTITUTE(SUBSTITUTE(K25,"24小时保安","Pengawal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","")&amp;IF(L25&lt;&gt;"","💰 Dari RM "&amp;TEXT(L25,"#,##0")&amp;"
","")&amp;"
Adakah masih tersedia? Terima kasih!","")</f>
        <v/>
      </c>
    </row>
    <row r="26" customFormat="false" ht="51.7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9"/>
      <c r="J26" s="29"/>
      <c r="K26" s="29"/>
      <c r="L26" s="28"/>
      <c r="M26" s="30"/>
      <c r="N26" s="31" t="str">
        <f aca="false">IFERROR(ifs(B26="🏢 Condo 公寓","fa-building",B26="🏠 Apartment 单位","fa-home",B26="🌿 即租即住","fa-home",B26="🌿 近国际学校","fa-school",B26="📌 商业旺铺","fa-store",B26="🌟 海景豪宅","fa-water-ladder",B26="📈 投资优选","fa-chart-line",B26="🏞️ 花园住宅","fa-tree",B26="🌟 2026全新地标","fa-drafting-compass",B26="📈 海外投资优选","fa-globe",B26="🌆 核心地段","fa-city",B26="🔥 限时优惠","fa-fire",B26="✅ 永久产权","fa-certificate",B26="🏅 高回报","fa-medal",B26="🏖️ 度假胜地","fa-umbrella-beach",B26="🏫 学区优选","fa-graduation-cap",B26="🛣️ 交通便利","fa-road",B26="🔑 即买即住","fa-key"),"fa-home")</f>
        <v>fa-home</v>
      </c>
      <c r="O26" s="31" t="str">
        <f aca="false">IF(D26&lt;&gt;"",D26,"")</f>
        <v/>
      </c>
      <c r="P26" s="31" t="str">
        <f aca="false">IF(D26&lt;&gt;"",SUBSTITUTE(SUBSTITUTE(SUBSTITUTE(SUBSTITUTE(SUBSTITUTE(SUBSTITUTE(SUBSTITUTE(SUBSTITUTE(SUBSTITUTE(SUBSTITUTE(D26,"亚庇","Kota Kinabalu"),"公寓","Condo"),"排屋","Terrace"),"别墅","Villa"),"店铺","Shop"),"新山","Johor Bahru"),"市中心","City Centre"),"高级","Premium"),"单位","Unit"),"住宅","Residence"),"")</f>
        <v/>
      </c>
      <c r="Q26" s="31" t="str">
        <f aca="false">IF(D26&lt;&gt;"",SUBSTITUTE(SUBSTITUTE(SUBSTITUTE(SUBSTITUTE(SUBSTITUTE(SUBSTITUTE(SUBSTITUTE(SUBSTITUTE(SUBSTITUTE(SUBSTITUTE(D26,"亚庇","Kota Kinabalu"),"公寓","Kondominium"),"排屋","Rumah Teres"),"别墅","Vila"),"店铺","Kedai"),"新山","Johor Bahru"),"市中心","Pusat Bandar"),"高级","Premium"),"单位","Unit"),"住宅","Kediaman"),"")</f>
        <v/>
      </c>
      <c r="R26" s="31" t="str">
        <f aca="false">IF(D26&lt;&gt;"","📍 "&amp;IF(E26&lt;&gt;"",E26&amp;"房","")&amp;IF(F26&lt;&gt;"",F26&amp;"卫 ","")&amp;IF(G26&lt;&gt;"",G26&amp;" sqft","")&amp;IF(AND(OR(E26&lt;&gt;"",G26&lt;&gt;""),H26&lt;&gt;"")," · ","")&amp;IF(H26&lt;&gt;"",H26,""),"")</f>
        <v/>
      </c>
      <c r="S26" s="31" t="str">
        <f aca="false">IF(D26&lt;&gt;"","📍 "&amp;IF(E26&lt;&gt;"",E26&amp;"BR ","")&amp;IF(F26&lt;&gt;"",F26&amp;"BA ","")&amp;IF(G26&lt;&gt;"",G26&amp;" sqft","")&amp;IF(AND(OR(E26&lt;&gt;"",G26&lt;&gt;""),H26&lt;&gt;"")," · ","")&amp;IF(H26&lt;&gt;"",SUBSTITUTE(SUBSTITUTE(SUBSTITUTE(SUBSTITUTE(SUBSTITUTE(SUBSTITUTE(SUBSTITUTE(SUBSTITUTE(SUBSTITUTE(SUBSTITUTE(H26,"游泳池","Swimming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6" s="31" t="str">
        <f aca="false">IF(D26&lt;&gt;"","📍 "&amp;IF(E26&lt;&gt;"",E26&amp;"Bilik ","")&amp;IF(F26&lt;&gt;"",F26&amp;"Bilik Air ","")&amp;IF(G26&lt;&gt;"",G26&amp;" sqft","")&amp;IF(AND(OR(E26&lt;&gt;"",G26&lt;&gt;""),H26&lt;&gt;"")," · ","")&amp;IF(H26&lt;&gt;"",SUBSTITUTE(SUBSTITUTE(SUBSTITUTE(SUBSTITUTE(SUBSTITUTE(SUBSTITUTE(SUBSTITUTE(SUBSTITUTE(SUBSTITUTE(SUBSTITUTE(H26,"游泳池","Kolam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6" s="32" t="str">
        <f aca="false">IF(OR(I26&lt;&gt;"",J26&lt;&gt;"",K26&lt;&gt;""),"🔒 "&amp;IF(I26&lt;&gt;"",I26,"")&amp;IF(AND(I26&lt;&gt;"",J26&lt;&gt;"")," · ","")&amp;IF(J26&lt;&gt;"",J26,"")&amp;IF(AND(OR(I26&lt;&gt;"",J26&lt;&gt;""),K26&lt;&gt;"")," · ","")&amp;IF(K26&lt;&gt;"",K26,""),"")</f>
        <v/>
      </c>
      <c r="V26" s="31" t="str">
        <f aca="false">IF(L26&lt;&gt;"","💰 起价 RM "&amp;TEXT(L26,"#,##0"),"")</f>
        <v/>
      </c>
      <c r="W26" s="31" t="str">
        <f aca="false">IF(L26&lt;&gt;"","💰 From RM "&amp;TEXT(L26,"#,##0"),"")</f>
        <v/>
      </c>
      <c r="X26" s="31" t="str">
        <f aca="false">IF(L26&lt;&gt;"","💰 Dari RM "&amp;TEXT(L26,"#,##0"),"")</f>
        <v/>
      </c>
      <c r="Y26" s="33" t="str">
        <f aca="false">IF(D26&lt;&gt;"","您好！我想咨询新楼盘：
🏠 "&amp;D26&amp;"
"&amp;IF(E26&lt;&gt;"","🛏 "&amp;E26&amp;"房"&amp;IF(F26&lt;&gt;""," "&amp;F26&amp;"卫","")&amp;"
","")&amp;IF(G26&lt;&gt;"","📐 "&amp;G26&amp;" sqft
","")&amp;IF(H26&lt;&gt;"","🏊 "&amp;H26&amp;"
","")&amp;IF(U26&lt;&gt;"",U26&amp;"
","")&amp;IF(L26&lt;&gt;"","💰 起价 RM "&amp;TEXT(L26,"#,##0")&amp;"
","")&amp;"
请问还有空档吗？谢谢！","")</f>
        <v/>
      </c>
      <c r="Z26" s="33" t="str">
        <f aca="false">IF(D26&lt;&gt;"","Hi! I'd like to make a new launch enquiry:
🏠 "&amp;P26&amp;"
"&amp;IF(E26&lt;&gt;"","🛏 "&amp;E26&amp;"BR"&amp;IF(F26&lt;&gt;""," "&amp;F26&amp;"BA","")&amp;"
","")&amp;IF(G26&lt;&gt;"","📐 "&amp;G26&amp;" sqft
","")&amp;IF(H26&lt;&gt;"","🏊 "&amp;SUBSTITUTE(SUBSTITUTE(SUBSTITUTE(SUBSTITUTE(SUBSTITUTE(SUBSTITUTE(SUBSTITUTE(SUBSTITUTE(SUBSTITUTE(SUBSTITUTE(H26,"游泳池","Swimming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Control"),""),"")&lt;&gt;"",IF(OR(I26&lt;&gt;"",J26&lt;&gt;"",K26&lt;&gt;""),"🔒 "&amp;IF(I26&lt;&gt;"",SUBSTITUTE(SUBSTITUTE(SUBSTITUTE(SUBSTITUTE(SUBSTITUTE(SUBSTITUTE(SUBSTITUTE(SUBSTITUTE(SUBSTITUTE(SUBSTITUTE(SUBSTITUTE(SUBSTITUTE(I26,"24小时保安","24hr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Control"),"")&amp;IF(AND(I26&lt;&gt;"",OR(J26&lt;&gt;"",K26&lt;&gt;""))," · ","")&amp;IF(J26&lt;&gt;"",SUBSTITUTE(SUBSTITUTE(SUBSTITUTE(SUBSTITUTE(SUBSTITUTE(SUBSTITUTE(SUBSTITUTE(SUBSTITUTE(SUBSTITUTE(SUBSTITUTE(SUBSTITUTE(SUBSTITUTE(J26,"24小时保安","24hr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Control"),"")&amp;IF(AND(J26&lt;&gt;"",K26&lt;&gt;"")," · ","")&amp;IF(K26&lt;&gt;"",SUBSTITUTE(SUBSTITUTE(SUBSTITUTE(SUBSTITUTE(SUBSTITUTE(SUBSTITUTE(SUBSTITUTE(SUBSTITUTE(SUBSTITUTE(SUBSTITUTE(SUBSTITUTE(SUBSTITUTE(K26,"24小时保安","24hr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","")&amp;IF(L26&lt;&gt;"","💰 From RM "&amp;TEXT(L26,"#,##0")&amp;"
","")&amp;"
Is this still available? Thank you!","")</f>
        <v/>
      </c>
      <c r="AA26" s="31"/>
      <c r="AB26" s="33" t="str">
        <f aca="false">IF(D26&lt;&gt;"","Helo! Saya ingin membuat pertanyaan projek baru:
🏠 "&amp;Q26&amp;"
"&amp;IF(E26&lt;&gt;"","🛏 "&amp;E26&amp;"Bilik"&amp;IF(F26&lt;&gt;""," "&amp;F26&amp;"Bilik Air","")&amp;"
","")&amp;IF(G26&lt;&gt;"","📐 "&amp;G26&amp;" sqft
","")&amp;IF(H26&lt;&gt;"","🏊 "&amp;SUBSTITUTE(SUBSTITUTE(SUBSTITUTE(SUBSTITUTE(SUBSTITUTE(SUBSTITUTE(SUBSTITUTE(SUBSTITUTE(SUBSTITUTE(SUBSTITUTE(H26,"游泳池","Kolam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Kawalan"),""),"")&lt;&gt;"",IF(OR(I26&lt;&gt;"",J26&lt;&gt;"",K26&lt;&gt;""),"🔒 "&amp;IF(I26&lt;&gt;"",SUBSTITUTE(SUBSTITUTE(SUBSTITUTE(SUBSTITUTE(SUBSTITUTE(SUBSTITUTE(SUBSTITUTE(SUBSTITUTE(SUBSTITUTE(SUBSTITUTE(SUBSTITUTE(SUBSTITUTE(I26,"24小时保安","Pengawal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Kawalan"),"")&amp;IF(AND(I26&lt;&gt;"",OR(J26&lt;&gt;"",K26&lt;&gt;""))," · ","")&amp;IF(J26&lt;&gt;"",SUBSTITUTE(SUBSTITUTE(SUBSTITUTE(SUBSTITUTE(SUBSTITUTE(SUBSTITUTE(SUBSTITUTE(SUBSTITUTE(SUBSTITUTE(SUBSTITUTE(SUBSTITUTE(SUBSTITUTE(J26,"24小时保安","Pengawal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Kawalan"),"")&amp;IF(AND(J26&lt;&gt;"",K26&lt;&gt;"")," · ","")&amp;IF(K26&lt;&gt;"",SUBSTITUTE(SUBSTITUTE(SUBSTITUTE(SUBSTITUTE(SUBSTITUTE(SUBSTITUTE(SUBSTITUTE(SUBSTITUTE(SUBSTITUTE(SUBSTITUTE(SUBSTITUTE(SUBSTITUTE(K26,"24小时保安","Pengawal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","")&amp;IF(L26&lt;&gt;"","💰 Dari RM "&amp;TEXT(L26,"#,##0")&amp;"
","")&amp;"
Adakah masih tersedia? Terima kasih!","")</f>
        <v/>
      </c>
    </row>
    <row r="27" customFormat="false" ht="51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9"/>
      <c r="J27" s="29"/>
      <c r="K27" s="29"/>
      <c r="L27" s="28"/>
      <c r="M27" s="30"/>
      <c r="N27" s="31" t="str">
        <f aca="false">IFERROR(ifs(B27="🏢 Condo 公寓","fa-building",B27="🏠 Apartment 单位","fa-home",B27="🌿 即租即住","fa-home",B27="🌿 近国际学校","fa-school",B27="📌 商业旺铺","fa-store",B27="🌟 海景豪宅","fa-water-ladder",B27="📈 投资优选","fa-chart-line",B27="🏞️ 花园住宅","fa-tree",B27="🌟 2026全新地标","fa-drafting-compass",B27="📈 海外投资优选","fa-globe",B27="🌆 核心地段","fa-city",B27="🔥 限时优惠","fa-fire",B27="✅ 永久产权","fa-certificate",B27="🏅 高回报","fa-medal",B27="🏖️ 度假胜地","fa-umbrella-beach",B27="🏫 学区优选","fa-graduation-cap",B27="🛣️ 交通便利","fa-road",B27="🔑 即买即住","fa-key"),"fa-home")</f>
        <v>fa-home</v>
      </c>
      <c r="O27" s="31" t="str">
        <f aca="false">IF(D27&lt;&gt;"",D27,"")</f>
        <v/>
      </c>
      <c r="P27" s="31" t="str">
        <f aca="false">IF(D27&lt;&gt;"",SUBSTITUTE(SUBSTITUTE(SUBSTITUTE(SUBSTITUTE(SUBSTITUTE(SUBSTITUTE(SUBSTITUTE(SUBSTITUTE(SUBSTITUTE(SUBSTITUTE(D27,"亚庇","Kota Kinabalu"),"公寓","Condo"),"排屋","Terrace"),"别墅","Villa"),"店铺","Shop"),"新山","Johor Bahru"),"市中心","City Centre"),"高级","Premium"),"单位","Unit"),"住宅","Residence"),"")</f>
        <v/>
      </c>
      <c r="Q27" s="31" t="str">
        <f aca="false">IF(D27&lt;&gt;"",SUBSTITUTE(SUBSTITUTE(SUBSTITUTE(SUBSTITUTE(SUBSTITUTE(SUBSTITUTE(SUBSTITUTE(SUBSTITUTE(SUBSTITUTE(SUBSTITUTE(D27,"亚庇","Kota Kinabalu"),"公寓","Kondominium"),"排屋","Rumah Teres"),"别墅","Vila"),"店铺","Kedai"),"新山","Johor Bahru"),"市中心","Pusat Bandar"),"高级","Premium"),"单位","Unit"),"住宅","Kediaman"),"")</f>
        <v/>
      </c>
      <c r="R27" s="31" t="str">
        <f aca="false">IF(D27&lt;&gt;"","📍 "&amp;IF(E27&lt;&gt;"",E27&amp;"房","")&amp;IF(F27&lt;&gt;"",F27&amp;"卫 ","")&amp;IF(G27&lt;&gt;"",G27&amp;" sqft","")&amp;IF(AND(OR(E27&lt;&gt;"",G27&lt;&gt;""),H27&lt;&gt;"")," · ","")&amp;IF(H27&lt;&gt;"",H27,""),"")</f>
        <v/>
      </c>
      <c r="S27" s="31" t="str">
        <f aca="false">IF(D27&lt;&gt;"","📍 "&amp;IF(E27&lt;&gt;"",E27&amp;"BR ","")&amp;IF(F27&lt;&gt;"",F27&amp;"BA ","")&amp;IF(G27&lt;&gt;"",G27&amp;" sqft","")&amp;IF(AND(OR(E27&lt;&gt;"",G27&lt;&gt;""),H27&lt;&gt;"")," · ","")&amp;IF(H27&lt;&gt;"",SUBSTITUTE(SUBSTITUTE(SUBSTITUTE(SUBSTITUTE(SUBSTITUTE(SUBSTITUTE(SUBSTITUTE(SUBSTITUTE(SUBSTITUTE(SUBSTITUTE(H27,"游泳池","Swimming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7" s="31" t="str">
        <f aca="false">IF(D27&lt;&gt;"","📍 "&amp;IF(E27&lt;&gt;"",E27&amp;"Bilik ","")&amp;IF(F27&lt;&gt;"",F27&amp;"Bilik Air ","")&amp;IF(G27&lt;&gt;"",G27&amp;" sqft","")&amp;IF(AND(OR(E27&lt;&gt;"",G27&lt;&gt;""),H27&lt;&gt;"")," · ","")&amp;IF(H27&lt;&gt;"",SUBSTITUTE(SUBSTITUTE(SUBSTITUTE(SUBSTITUTE(SUBSTITUTE(SUBSTITUTE(SUBSTITUTE(SUBSTITUTE(SUBSTITUTE(SUBSTITUTE(H27,"游泳池","Kolam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7" s="32" t="str">
        <f aca="false">IF(OR(I27&lt;&gt;"",J27&lt;&gt;"",K27&lt;&gt;""),"🔒 "&amp;IF(I27&lt;&gt;"",I27,"")&amp;IF(AND(I27&lt;&gt;"",J27&lt;&gt;"")," · ","")&amp;IF(J27&lt;&gt;"",J27,"")&amp;IF(AND(OR(I27&lt;&gt;"",J27&lt;&gt;""),K27&lt;&gt;"")," · ","")&amp;IF(K27&lt;&gt;"",K27,""),"")</f>
        <v/>
      </c>
      <c r="V27" s="31" t="str">
        <f aca="false">IF(L27&lt;&gt;"","💰 起价 RM "&amp;TEXT(L27,"#,##0"),"")</f>
        <v/>
      </c>
      <c r="W27" s="31" t="str">
        <f aca="false">IF(L27&lt;&gt;"","💰 From RM "&amp;TEXT(L27,"#,##0"),"")</f>
        <v/>
      </c>
      <c r="X27" s="31" t="str">
        <f aca="false">IF(L27&lt;&gt;"","💰 Dari RM "&amp;TEXT(L27,"#,##0"),"")</f>
        <v/>
      </c>
      <c r="Y27" s="33" t="str">
        <f aca="false">IF(D27&lt;&gt;"","您好！我想咨询新楼盘：
🏠 "&amp;D27&amp;"
"&amp;IF(E27&lt;&gt;"","🛏 "&amp;E27&amp;"房"&amp;IF(F27&lt;&gt;""," "&amp;F27&amp;"卫","")&amp;"
","")&amp;IF(G27&lt;&gt;"","📐 "&amp;G27&amp;" sqft
","")&amp;IF(H27&lt;&gt;"","🏊 "&amp;H27&amp;"
","")&amp;IF(U27&lt;&gt;"",U27&amp;"
","")&amp;IF(L27&lt;&gt;"","💰 起价 RM "&amp;TEXT(L27,"#,##0")&amp;"
","")&amp;"
请问还有空档吗？谢谢！","")</f>
        <v/>
      </c>
      <c r="Z27" s="33" t="str">
        <f aca="false">IF(D27&lt;&gt;"","Hi! I'd like to make a new launch enquiry:
🏠 "&amp;P27&amp;"
"&amp;IF(E27&lt;&gt;"","🛏 "&amp;E27&amp;"BR"&amp;IF(F27&lt;&gt;""," "&amp;F27&amp;"BA","")&amp;"
","")&amp;IF(G27&lt;&gt;"","📐 "&amp;G27&amp;" sqft
","")&amp;IF(H27&lt;&gt;"","🏊 "&amp;SUBSTITUTE(SUBSTITUTE(SUBSTITUTE(SUBSTITUTE(SUBSTITUTE(SUBSTITUTE(SUBSTITUTE(SUBSTITUTE(SUBSTITUTE(SUBSTITUTE(H27,"游泳池","Swimming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Control"),""),"")&lt;&gt;"",IF(OR(I27&lt;&gt;"",J27&lt;&gt;"",K27&lt;&gt;""),"🔒 "&amp;IF(I27&lt;&gt;"",SUBSTITUTE(SUBSTITUTE(SUBSTITUTE(SUBSTITUTE(SUBSTITUTE(SUBSTITUTE(SUBSTITUTE(SUBSTITUTE(SUBSTITUTE(SUBSTITUTE(SUBSTITUTE(SUBSTITUTE(I27,"24小时保安","24hr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Control"),"")&amp;IF(AND(I27&lt;&gt;"",OR(J27&lt;&gt;"",K27&lt;&gt;""))," · ","")&amp;IF(J27&lt;&gt;"",SUBSTITUTE(SUBSTITUTE(SUBSTITUTE(SUBSTITUTE(SUBSTITUTE(SUBSTITUTE(SUBSTITUTE(SUBSTITUTE(SUBSTITUTE(SUBSTITUTE(SUBSTITUTE(SUBSTITUTE(J27,"24小时保安","24hr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Control"),"")&amp;IF(AND(J27&lt;&gt;"",K27&lt;&gt;"")," · ","")&amp;IF(K27&lt;&gt;"",SUBSTITUTE(SUBSTITUTE(SUBSTITUTE(SUBSTITUTE(SUBSTITUTE(SUBSTITUTE(SUBSTITUTE(SUBSTITUTE(SUBSTITUTE(SUBSTITUTE(SUBSTITUTE(SUBSTITUTE(K27,"24小时保安","24hr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","")&amp;IF(L27&lt;&gt;"","💰 From RM "&amp;TEXT(L27,"#,##0")&amp;"
","")&amp;"
Is this still available? Thank you!","")</f>
        <v/>
      </c>
      <c r="AA27" s="31"/>
      <c r="AB27" s="33" t="str">
        <f aca="false">IF(D27&lt;&gt;"","Helo! Saya ingin membuat pertanyaan projek baru:
🏠 "&amp;Q27&amp;"
"&amp;IF(E27&lt;&gt;"","🛏 "&amp;E27&amp;"Bilik"&amp;IF(F27&lt;&gt;""," "&amp;F27&amp;"Bilik Air","")&amp;"
","")&amp;IF(G27&lt;&gt;"","📐 "&amp;G27&amp;" sqft
","")&amp;IF(H27&lt;&gt;"","🏊 "&amp;SUBSTITUTE(SUBSTITUTE(SUBSTITUTE(SUBSTITUTE(SUBSTITUTE(SUBSTITUTE(SUBSTITUTE(SUBSTITUTE(SUBSTITUTE(SUBSTITUTE(H27,"游泳池","Kolam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Kawalan"),""),"")&lt;&gt;"",IF(OR(I27&lt;&gt;"",J27&lt;&gt;"",K27&lt;&gt;""),"🔒 "&amp;IF(I27&lt;&gt;"",SUBSTITUTE(SUBSTITUTE(SUBSTITUTE(SUBSTITUTE(SUBSTITUTE(SUBSTITUTE(SUBSTITUTE(SUBSTITUTE(SUBSTITUTE(SUBSTITUTE(SUBSTITUTE(SUBSTITUTE(I27,"24小时保安","Pengawal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Kawalan"),"")&amp;IF(AND(I27&lt;&gt;"",OR(J27&lt;&gt;"",K27&lt;&gt;""))," · ","")&amp;IF(J27&lt;&gt;"",SUBSTITUTE(SUBSTITUTE(SUBSTITUTE(SUBSTITUTE(SUBSTITUTE(SUBSTITUTE(SUBSTITUTE(SUBSTITUTE(SUBSTITUTE(SUBSTITUTE(SUBSTITUTE(SUBSTITUTE(J27,"24小时保安","Pengawal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Kawalan"),"")&amp;IF(AND(J27&lt;&gt;"",K27&lt;&gt;"")," · ","")&amp;IF(K27&lt;&gt;"",SUBSTITUTE(SUBSTITUTE(SUBSTITUTE(SUBSTITUTE(SUBSTITUTE(SUBSTITUTE(SUBSTITUTE(SUBSTITUTE(SUBSTITUTE(SUBSTITUTE(SUBSTITUTE(SUBSTITUTE(K27,"24小时保安","Pengawal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","")&amp;IF(L27&lt;&gt;"","💰 Dari RM "&amp;TEXT(L27,"#,##0")&amp;"
","")&amp;"
Adakah masih tersedia? Terima kasih!","")</f>
        <v/>
      </c>
    </row>
    <row r="28" customFormat="false" ht="51.7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9"/>
      <c r="J28" s="29"/>
      <c r="K28" s="29"/>
      <c r="L28" s="28"/>
      <c r="M28" s="30"/>
      <c r="N28" s="31" t="str">
        <f aca="false">IFERROR(ifs(B28="🏢 Condo 公寓","fa-building",B28="🏠 Apartment 单位","fa-home",B28="🌿 即租即住","fa-home",B28="🌿 近国际学校","fa-school",B28="📌 商业旺铺","fa-store",B28="🌟 海景豪宅","fa-water-ladder",B28="📈 投资优选","fa-chart-line",B28="🏞️ 花园住宅","fa-tree",B28="🌟 2026全新地标","fa-drafting-compass",B28="📈 海外投资优选","fa-globe",B28="🌆 核心地段","fa-city",B28="🔥 限时优惠","fa-fire",B28="✅ 永久产权","fa-certificate",B28="🏅 高回报","fa-medal",B28="🏖️ 度假胜地","fa-umbrella-beach",B28="🏫 学区优选","fa-graduation-cap",B28="🛣️ 交通便利","fa-road",B28="🔑 即买即住","fa-key"),"fa-home")</f>
        <v>fa-home</v>
      </c>
      <c r="O28" s="31" t="str">
        <f aca="false">IF(D28&lt;&gt;"",D28,"")</f>
        <v/>
      </c>
      <c r="P28" s="31" t="str">
        <f aca="false">IF(D28&lt;&gt;"",SUBSTITUTE(SUBSTITUTE(SUBSTITUTE(SUBSTITUTE(SUBSTITUTE(SUBSTITUTE(SUBSTITUTE(SUBSTITUTE(SUBSTITUTE(SUBSTITUTE(D28,"亚庇","Kota Kinabalu"),"公寓","Condo"),"排屋","Terrace"),"别墅","Villa"),"店铺","Shop"),"新山","Johor Bahru"),"市中心","City Centre"),"高级","Premium"),"单位","Unit"),"住宅","Residence"),"")</f>
        <v/>
      </c>
      <c r="Q28" s="31" t="str">
        <f aca="false">IF(D28&lt;&gt;"",SUBSTITUTE(SUBSTITUTE(SUBSTITUTE(SUBSTITUTE(SUBSTITUTE(SUBSTITUTE(SUBSTITUTE(SUBSTITUTE(SUBSTITUTE(SUBSTITUTE(D28,"亚庇","Kota Kinabalu"),"公寓","Kondominium"),"排屋","Rumah Teres"),"别墅","Vila"),"店铺","Kedai"),"新山","Johor Bahru"),"市中心","Pusat Bandar"),"高级","Premium"),"单位","Unit"),"住宅","Kediaman"),"")</f>
        <v/>
      </c>
      <c r="R28" s="31" t="str">
        <f aca="false">IF(D28&lt;&gt;"","📍 "&amp;IF(E28&lt;&gt;"",E28&amp;"房","")&amp;IF(F28&lt;&gt;"",F28&amp;"卫 ","")&amp;IF(G28&lt;&gt;"",G28&amp;" sqft","")&amp;IF(AND(OR(E28&lt;&gt;"",G28&lt;&gt;""),H28&lt;&gt;"")," · ","")&amp;IF(H28&lt;&gt;"",H28,""),"")</f>
        <v/>
      </c>
      <c r="S28" s="31" t="str">
        <f aca="false">IF(D28&lt;&gt;"","📍 "&amp;IF(E28&lt;&gt;"",E28&amp;"BR ","")&amp;IF(F28&lt;&gt;"",F28&amp;"BA ","")&amp;IF(G28&lt;&gt;"",G28&amp;" sqft","")&amp;IF(AND(OR(E28&lt;&gt;"",G28&lt;&gt;""),H28&lt;&gt;"")," · ","")&amp;IF(H28&lt;&gt;"",SUBSTITUTE(SUBSTITUTE(SUBSTITUTE(SUBSTITUTE(SUBSTITUTE(SUBSTITUTE(SUBSTITUTE(SUBSTITUTE(SUBSTITUTE(SUBSTITUTE(H28,"游泳池","Swimming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8" s="31" t="str">
        <f aca="false">IF(D28&lt;&gt;"","📍 "&amp;IF(E28&lt;&gt;"",E28&amp;"Bilik ","")&amp;IF(F28&lt;&gt;"",F28&amp;"Bilik Air ","")&amp;IF(G28&lt;&gt;"",G28&amp;" sqft","")&amp;IF(AND(OR(E28&lt;&gt;"",G28&lt;&gt;""),H28&lt;&gt;"")," · ","")&amp;IF(H28&lt;&gt;"",SUBSTITUTE(SUBSTITUTE(SUBSTITUTE(SUBSTITUTE(SUBSTITUTE(SUBSTITUTE(SUBSTITUTE(SUBSTITUTE(SUBSTITUTE(SUBSTITUTE(H28,"游泳池","Kolam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8" s="32" t="str">
        <f aca="false">IF(OR(I28&lt;&gt;"",J28&lt;&gt;"",K28&lt;&gt;""),"🔒 "&amp;IF(I28&lt;&gt;"",I28,"")&amp;IF(AND(I28&lt;&gt;"",J28&lt;&gt;"")," · ","")&amp;IF(J28&lt;&gt;"",J28,"")&amp;IF(AND(OR(I28&lt;&gt;"",J28&lt;&gt;""),K28&lt;&gt;"")," · ","")&amp;IF(K28&lt;&gt;"",K28,""),"")</f>
        <v/>
      </c>
      <c r="V28" s="31" t="str">
        <f aca="false">IF(L28&lt;&gt;"","💰 起价 RM "&amp;TEXT(L28,"#,##0"),"")</f>
        <v/>
      </c>
      <c r="W28" s="31" t="str">
        <f aca="false">IF(L28&lt;&gt;"","💰 From RM "&amp;TEXT(L28,"#,##0"),"")</f>
        <v/>
      </c>
      <c r="X28" s="31" t="str">
        <f aca="false">IF(L28&lt;&gt;"","💰 Dari RM "&amp;TEXT(L28,"#,##0"),"")</f>
        <v/>
      </c>
      <c r="Y28" s="33" t="str">
        <f aca="false">IF(D28&lt;&gt;"","您好！我想咨询新楼盘：
🏠 "&amp;D28&amp;"
"&amp;IF(E28&lt;&gt;"","🛏 "&amp;E28&amp;"房"&amp;IF(F28&lt;&gt;""," "&amp;F28&amp;"卫","")&amp;"
","")&amp;IF(G28&lt;&gt;"","📐 "&amp;G28&amp;" sqft
","")&amp;IF(H28&lt;&gt;"","🏊 "&amp;H28&amp;"
","")&amp;IF(U28&lt;&gt;"",U28&amp;"
","")&amp;IF(L28&lt;&gt;"","💰 起价 RM "&amp;TEXT(L28,"#,##0")&amp;"
","")&amp;"
请问还有空档吗？谢谢！","")</f>
        <v/>
      </c>
      <c r="Z28" s="33" t="str">
        <f aca="false">IF(D28&lt;&gt;"","Hi! I'd like to make a new launch enquiry:
🏠 "&amp;P28&amp;"
"&amp;IF(E28&lt;&gt;"","🛏 "&amp;E28&amp;"BR"&amp;IF(F28&lt;&gt;""," "&amp;F28&amp;"BA","")&amp;"
","")&amp;IF(G28&lt;&gt;"","📐 "&amp;G28&amp;" sqft
","")&amp;IF(H28&lt;&gt;"","🏊 "&amp;SUBSTITUTE(SUBSTITUTE(SUBSTITUTE(SUBSTITUTE(SUBSTITUTE(SUBSTITUTE(SUBSTITUTE(SUBSTITUTE(SUBSTITUTE(SUBSTITUTE(H28,"游泳池","Swimming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Control"),""),"")&lt;&gt;"",IF(OR(I28&lt;&gt;"",J28&lt;&gt;"",K28&lt;&gt;""),"🔒 "&amp;IF(I28&lt;&gt;"",SUBSTITUTE(SUBSTITUTE(SUBSTITUTE(SUBSTITUTE(SUBSTITUTE(SUBSTITUTE(SUBSTITUTE(SUBSTITUTE(SUBSTITUTE(SUBSTITUTE(SUBSTITUTE(SUBSTITUTE(I28,"24小时保安","24hr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Control"),"")&amp;IF(AND(I28&lt;&gt;"",OR(J28&lt;&gt;"",K28&lt;&gt;""))," · ","")&amp;IF(J28&lt;&gt;"",SUBSTITUTE(SUBSTITUTE(SUBSTITUTE(SUBSTITUTE(SUBSTITUTE(SUBSTITUTE(SUBSTITUTE(SUBSTITUTE(SUBSTITUTE(SUBSTITUTE(SUBSTITUTE(SUBSTITUTE(J28,"24小时保安","24hr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Control"),"")&amp;IF(AND(J28&lt;&gt;"",K28&lt;&gt;"")," · ","")&amp;IF(K28&lt;&gt;"",SUBSTITUTE(SUBSTITUTE(SUBSTITUTE(SUBSTITUTE(SUBSTITUTE(SUBSTITUTE(SUBSTITUTE(SUBSTITUTE(SUBSTITUTE(SUBSTITUTE(SUBSTITUTE(SUBSTITUTE(K28,"24小时保安","24hr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","")&amp;IF(L28&lt;&gt;"","💰 From RM "&amp;TEXT(L28,"#,##0")&amp;"
","")&amp;"
Is this still available? Thank you!","")</f>
        <v/>
      </c>
      <c r="AA28" s="31"/>
      <c r="AB28" s="33" t="str">
        <f aca="false">IF(D28&lt;&gt;"","Helo! Saya ingin membuat pertanyaan projek baru:
🏠 "&amp;Q28&amp;"
"&amp;IF(E28&lt;&gt;"","🛏 "&amp;E28&amp;"Bilik"&amp;IF(F28&lt;&gt;""," "&amp;F28&amp;"Bilik Air","")&amp;"
","")&amp;IF(G28&lt;&gt;"","📐 "&amp;G28&amp;" sqft
","")&amp;IF(H28&lt;&gt;"","🏊 "&amp;SUBSTITUTE(SUBSTITUTE(SUBSTITUTE(SUBSTITUTE(SUBSTITUTE(SUBSTITUTE(SUBSTITUTE(SUBSTITUTE(SUBSTITUTE(SUBSTITUTE(H28,"游泳池","Kolam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Kawalan"),""),"")&lt;&gt;"",IF(OR(I28&lt;&gt;"",J28&lt;&gt;"",K28&lt;&gt;""),"🔒 "&amp;IF(I28&lt;&gt;"",SUBSTITUTE(SUBSTITUTE(SUBSTITUTE(SUBSTITUTE(SUBSTITUTE(SUBSTITUTE(SUBSTITUTE(SUBSTITUTE(SUBSTITUTE(SUBSTITUTE(SUBSTITUTE(SUBSTITUTE(I28,"24小时保安","Pengawal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Kawalan"),"")&amp;IF(AND(I28&lt;&gt;"",OR(J28&lt;&gt;"",K28&lt;&gt;""))," · ","")&amp;IF(J28&lt;&gt;"",SUBSTITUTE(SUBSTITUTE(SUBSTITUTE(SUBSTITUTE(SUBSTITUTE(SUBSTITUTE(SUBSTITUTE(SUBSTITUTE(SUBSTITUTE(SUBSTITUTE(SUBSTITUTE(SUBSTITUTE(J28,"24小时保安","Pengawal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Kawalan"),"")&amp;IF(AND(J28&lt;&gt;"",K28&lt;&gt;"")," · ","")&amp;IF(K28&lt;&gt;"",SUBSTITUTE(SUBSTITUTE(SUBSTITUTE(SUBSTITUTE(SUBSTITUTE(SUBSTITUTE(SUBSTITUTE(SUBSTITUTE(SUBSTITUTE(SUBSTITUTE(SUBSTITUTE(SUBSTITUTE(K28,"24小时保安","Pengawal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","")&amp;IF(L28&lt;&gt;"","💰 Dari RM "&amp;TEXT(L28,"#,##0")&amp;"
","")&amp;"
Adakah masih tersedia? Terima kasih!","")</f>
        <v/>
      </c>
    </row>
    <row r="29" customFormat="false" ht="51.7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9"/>
      <c r="J29" s="29"/>
      <c r="K29" s="29"/>
      <c r="L29" s="28"/>
      <c r="M29" s="30"/>
      <c r="N29" s="31" t="str">
        <f aca="false">IFERROR(ifs(B29="🏢 Condo 公寓","fa-building",B29="🏠 Apartment 单位","fa-home",B29="🌿 即租即住","fa-home",B29="🌿 近国际学校","fa-school",B29="📌 商业旺铺","fa-store",B29="🌟 海景豪宅","fa-water-ladder",B29="📈 投资优选","fa-chart-line",B29="🏞️ 花园住宅","fa-tree",B29="🌟 2026全新地标","fa-drafting-compass",B29="📈 海外投资优选","fa-globe",B29="🌆 核心地段","fa-city",B29="🔥 限时优惠","fa-fire",B29="✅ 永久产权","fa-certificate",B29="🏅 高回报","fa-medal",B29="🏖️ 度假胜地","fa-umbrella-beach",B29="🏫 学区优选","fa-graduation-cap",B29="🛣️ 交通便利","fa-road",B29="🔑 即买即住","fa-key"),"fa-home")</f>
        <v>fa-home</v>
      </c>
      <c r="O29" s="31" t="str">
        <f aca="false">IF(D29&lt;&gt;"",D29,"")</f>
        <v/>
      </c>
      <c r="P29" s="31" t="str">
        <f aca="false">IF(D29&lt;&gt;"",SUBSTITUTE(SUBSTITUTE(SUBSTITUTE(SUBSTITUTE(SUBSTITUTE(SUBSTITUTE(SUBSTITUTE(SUBSTITUTE(SUBSTITUTE(SUBSTITUTE(D29,"亚庇","Kota Kinabalu"),"公寓","Condo"),"排屋","Terrace"),"别墅","Villa"),"店铺","Shop"),"新山","Johor Bahru"),"市中心","City Centre"),"高级","Premium"),"单位","Unit"),"住宅","Residence"),"")</f>
        <v/>
      </c>
      <c r="Q29" s="31" t="str">
        <f aca="false">IF(D29&lt;&gt;"",SUBSTITUTE(SUBSTITUTE(SUBSTITUTE(SUBSTITUTE(SUBSTITUTE(SUBSTITUTE(SUBSTITUTE(SUBSTITUTE(SUBSTITUTE(SUBSTITUTE(D29,"亚庇","Kota Kinabalu"),"公寓","Kondominium"),"排屋","Rumah Teres"),"别墅","Vila"),"店铺","Kedai"),"新山","Johor Bahru"),"市中心","Pusat Bandar"),"高级","Premium"),"单位","Unit"),"住宅","Kediaman"),"")</f>
        <v/>
      </c>
      <c r="R29" s="31" t="str">
        <f aca="false">IF(D29&lt;&gt;"","📍 "&amp;IF(E29&lt;&gt;"",E29&amp;"房","")&amp;IF(F29&lt;&gt;"",F29&amp;"卫 ","")&amp;IF(G29&lt;&gt;"",G29&amp;" sqft","")&amp;IF(AND(OR(E29&lt;&gt;"",G29&lt;&gt;""),H29&lt;&gt;"")," · ","")&amp;IF(H29&lt;&gt;"",H29,""),"")</f>
        <v/>
      </c>
      <c r="S29" s="31" t="str">
        <f aca="false">IF(D29&lt;&gt;"","📍 "&amp;IF(E29&lt;&gt;"",E29&amp;"BR ","")&amp;IF(F29&lt;&gt;"",F29&amp;"BA ","")&amp;IF(G29&lt;&gt;"",G29&amp;" sqft","")&amp;IF(AND(OR(E29&lt;&gt;"",G29&lt;&gt;""),H29&lt;&gt;"")," · ","")&amp;IF(H29&lt;&gt;"",SUBSTITUTE(SUBSTITUTE(SUBSTITUTE(SUBSTITUTE(SUBSTITUTE(SUBSTITUTE(SUBSTITUTE(SUBSTITUTE(SUBSTITUTE(SUBSTITUTE(H29,"游泳池","Swimming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29" s="31" t="str">
        <f aca="false">IF(D29&lt;&gt;"","📍 "&amp;IF(E29&lt;&gt;"",E29&amp;"Bilik ","")&amp;IF(F29&lt;&gt;"",F29&amp;"Bilik Air ","")&amp;IF(G29&lt;&gt;"",G29&amp;" sqft","")&amp;IF(AND(OR(E29&lt;&gt;"",G29&lt;&gt;""),H29&lt;&gt;"")," · ","")&amp;IF(H29&lt;&gt;"",SUBSTITUTE(SUBSTITUTE(SUBSTITUTE(SUBSTITUTE(SUBSTITUTE(SUBSTITUTE(SUBSTITUTE(SUBSTITUTE(SUBSTITUTE(SUBSTITUTE(H29,"游泳池","Kolam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29" s="32" t="str">
        <f aca="false">IF(OR(I29&lt;&gt;"",J29&lt;&gt;"",K29&lt;&gt;""),"🔒 "&amp;IF(I29&lt;&gt;"",I29,"")&amp;IF(AND(I29&lt;&gt;"",J29&lt;&gt;"")," · ","")&amp;IF(J29&lt;&gt;"",J29,"")&amp;IF(AND(OR(I29&lt;&gt;"",J29&lt;&gt;""),K29&lt;&gt;"")," · ","")&amp;IF(K29&lt;&gt;"",K29,""),"")</f>
        <v/>
      </c>
      <c r="V29" s="31" t="str">
        <f aca="false">IF(L29&lt;&gt;"","💰 起价 RM "&amp;TEXT(L29,"#,##0"),"")</f>
        <v/>
      </c>
      <c r="W29" s="31" t="str">
        <f aca="false">IF(L29&lt;&gt;"","💰 From RM "&amp;TEXT(L29,"#,##0"),"")</f>
        <v/>
      </c>
      <c r="X29" s="31" t="str">
        <f aca="false">IF(L29&lt;&gt;"","💰 Dari RM "&amp;TEXT(L29,"#,##0"),"")</f>
        <v/>
      </c>
      <c r="Y29" s="33" t="str">
        <f aca="false">IF(D29&lt;&gt;"","您好！我想咨询新楼盘：
🏠 "&amp;D29&amp;"
"&amp;IF(E29&lt;&gt;"","🛏 "&amp;E29&amp;"房"&amp;IF(F29&lt;&gt;""," "&amp;F29&amp;"卫","")&amp;"
","")&amp;IF(G29&lt;&gt;"","📐 "&amp;G29&amp;" sqft
","")&amp;IF(H29&lt;&gt;"","🏊 "&amp;H29&amp;"
","")&amp;IF(U29&lt;&gt;"",U29&amp;"
","")&amp;IF(L29&lt;&gt;"","💰 起价 RM "&amp;TEXT(L29,"#,##0")&amp;"
","")&amp;"
请问还有空档吗？谢谢！","")</f>
        <v/>
      </c>
      <c r="Z29" s="33" t="str">
        <f aca="false">IF(D29&lt;&gt;"","Hi! I'd like to make a new launch enquiry:
🏠 "&amp;P29&amp;"
"&amp;IF(E29&lt;&gt;"","🛏 "&amp;E29&amp;"BR"&amp;IF(F29&lt;&gt;""," "&amp;F29&amp;"BA","")&amp;"
","")&amp;IF(G29&lt;&gt;"","📐 "&amp;G29&amp;" sqft
","")&amp;IF(H29&lt;&gt;"","🏊 "&amp;SUBSTITUTE(SUBSTITUTE(SUBSTITUTE(SUBSTITUTE(SUBSTITUTE(SUBSTITUTE(SUBSTITUTE(SUBSTITUTE(SUBSTITUTE(SUBSTITUTE(H29,"游泳池","Swimming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Control"),""),"")&lt;&gt;"",IF(OR(I29&lt;&gt;"",J29&lt;&gt;"",K29&lt;&gt;""),"🔒 "&amp;IF(I29&lt;&gt;"",SUBSTITUTE(SUBSTITUTE(SUBSTITUTE(SUBSTITUTE(SUBSTITUTE(SUBSTITUTE(SUBSTITUTE(SUBSTITUTE(SUBSTITUTE(SUBSTITUTE(SUBSTITUTE(SUBSTITUTE(I29,"24小时保安","24hr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Control"),"")&amp;IF(AND(I29&lt;&gt;"",OR(J29&lt;&gt;"",K29&lt;&gt;""))," · ","")&amp;IF(J29&lt;&gt;"",SUBSTITUTE(SUBSTITUTE(SUBSTITUTE(SUBSTITUTE(SUBSTITUTE(SUBSTITUTE(SUBSTITUTE(SUBSTITUTE(SUBSTITUTE(SUBSTITUTE(SUBSTITUTE(SUBSTITUTE(J29,"24小时保安","24hr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Control"),"")&amp;IF(AND(J29&lt;&gt;"",K29&lt;&gt;"")," · ","")&amp;IF(K29&lt;&gt;"",SUBSTITUTE(SUBSTITUTE(SUBSTITUTE(SUBSTITUTE(SUBSTITUTE(SUBSTITUTE(SUBSTITUTE(SUBSTITUTE(SUBSTITUTE(SUBSTITUTE(SUBSTITUTE(SUBSTITUTE(K29,"24小时保安","24hr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","")&amp;IF(L29&lt;&gt;"","💰 From RM "&amp;TEXT(L29,"#,##0")&amp;"
","")&amp;"
Is this still available? Thank you!","")</f>
        <v/>
      </c>
      <c r="AA29" s="31"/>
      <c r="AB29" s="33" t="str">
        <f aca="false">IF(D29&lt;&gt;"","Helo! Saya ingin membuat pertanyaan projek baru:
🏠 "&amp;Q29&amp;"
"&amp;IF(E29&lt;&gt;"","🛏 "&amp;E29&amp;"Bilik"&amp;IF(F29&lt;&gt;""," "&amp;F29&amp;"Bilik Air","")&amp;"
","")&amp;IF(G29&lt;&gt;"","📐 "&amp;G29&amp;" sqft
","")&amp;IF(H29&lt;&gt;"","🏊 "&amp;SUBSTITUTE(SUBSTITUTE(SUBSTITUTE(SUBSTITUTE(SUBSTITUTE(SUBSTITUTE(SUBSTITUTE(SUBSTITUTE(SUBSTITUTE(SUBSTITUTE(H29,"游泳池","Kolam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Kawalan"),""),"")&lt;&gt;"",IF(OR(I29&lt;&gt;"",J29&lt;&gt;"",K29&lt;&gt;""),"🔒 "&amp;IF(I29&lt;&gt;"",SUBSTITUTE(SUBSTITUTE(SUBSTITUTE(SUBSTITUTE(SUBSTITUTE(SUBSTITUTE(SUBSTITUTE(SUBSTITUTE(SUBSTITUTE(SUBSTITUTE(SUBSTITUTE(SUBSTITUTE(I29,"24小时保安","Pengawal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Kawalan"),"")&amp;IF(AND(I29&lt;&gt;"",OR(J29&lt;&gt;"",K29&lt;&gt;""))," · ","")&amp;IF(J29&lt;&gt;"",SUBSTITUTE(SUBSTITUTE(SUBSTITUTE(SUBSTITUTE(SUBSTITUTE(SUBSTITUTE(SUBSTITUTE(SUBSTITUTE(SUBSTITUTE(SUBSTITUTE(SUBSTITUTE(SUBSTITUTE(J29,"24小时保安","Pengawal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Kawalan"),"")&amp;IF(AND(J29&lt;&gt;"",K29&lt;&gt;"")," · ","")&amp;IF(K29&lt;&gt;"",SUBSTITUTE(SUBSTITUTE(SUBSTITUTE(SUBSTITUTE(SUBSTITUTE(SUBSTITUTE(SUBSTITUTE(SUBSTITUTE(SUBSTITUTE(SUBSTITUTE(SUBSTITUTE(SUBSTITUTE(K29,"24小时保安","Pengawal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","")&amp;IF(L29&lt;&gt;"","💰 Dari RM "&amp;TEXT(L29,"#,##0")&amp;"
","")&amp;"
Adakah masih tersedia? Terima kasih!","")</f>
        <v/>
      </c>
    </row>
    <row r="30" customFormat="false" ht="51.7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9"/>
      <c r="J30" s="29"/>
      <c r="K30" s="29"/>
      <c r="L30" s="28"/>
      <c r="M30" s="30"/>
      <c r="N30" s="31" t="str">
        <f aca="false">IFERROR(ifs(B30="🏢 Condo 公寓","fa-building",B30="🏠 Apartment 单位","fa-home",B30="🌿 即租即住","fa-home",B30="🌿 近国际学校","fa-school",B30="📌 商业旺铺","fa-store",B30="🌟 海景豪宅","fa-water-ladder",B30="📈 投资优选","fa-chart-line",B30="🏞️ 花园住宅","fa-tree",B30="🌟 2026全新地标","fa-drafting-compass",B30="📈 海外投资优选","fa-globe",B30="🌆 核心地段","fa-city",B30="🔥 限时优惠","fa-fire",B30="✅ 永久产权","fa-certificate",B30="🏅 高回报","fa-medal",B30="🏖️ 度假胜地","fa-umbrella-beach",B30="🏫 学区优选","fa-graduation-cap",B30="🛣️ 交通便利","fa-road",B30="🔑 即买即住","fa-key"),"fa-home")</f>
        <v>fa-home</v>
      </c>
      <c r="O30" s="31" t="str">
        <f aca="false">IF(D30&lt;&gt;"",D30,"")</f>
        <v/>
      </c>
      <c r="P30" s="31" t="str">
        <f aca="false">IF(D30&lt;&gt;"",SUBSTITUTE(SUBSTITUTE(SUBSTITUTE(SUBSTITUTE(SUBSTITUTE(SUBSTITUTE(SUBSTITUTE(SUBSTITUTE(SUBSTITUTE(SUBSTITUTE(D30,"亚庇","Kota Kinabalu"),"公寓","Condo"),"排屋","Terrace"),"别墅","Villa"),"店铺","Shop"),"新山","Johor Bahru"),"市中心","City Centre"),"高级","Premium"),"单位","Unit"),"住宅","Residence"),"")</f>
        <v/>
      </c>
      <c r="Q30" s="31" t="str">
        <f aca="false">IF(D30&lt;&gt;"",SUBSTITUTE(SUBSTITUTE(SUBSTITUTE(SUBSTITUTE(SUBSTITUTE(SUBSTITUTE(SUBSTITUTE(SUBSTITUTE(SUBSTITUTE(SUBSTITUTE(D30,"亚庇","Kota Kinabalu"),"公寓","Kondominium"),"排屋","Rumah Teres"),"别墅","Vila"),"店铺","Kedai"),"新山","Johor Bahru"),"市中心","Pusat Bandar"),"高级","Premium"),"单位","Unit"),"住宅","Kediaman"),"")</f>
        <v/>
      </c>
      <c r="R30" s="31" t="str">
        <f aca="false">IF(D30&lt;&gt;"","📍 "&amp;IF(E30&lt;&gt;"",E30&amp;"房","")&amp;IF(F30&lt;&gt;"",F30&amp;"卫 ","")&amp;IF(G30&lt;&gt;"",G30&amp;" sqft","")&amp;IF(AND(OR(E30&lt;&gt;"",G30&lt;&gt;""),H30&lt;&gt;"")," · ","")&amp;IF(H30&lt;&gt;"",H30,""),"")</f>
        <v/>
      </c>
      <c r="S30" s="31" t="str">
        <f aca="false">IF(D30&lt;&gt;"","📍 "&amp;IF(E30&lt;&gt;"",E30&amp;"BR ","")&amp;IF(F30&lt;&gt;"",F30&amp;"BA ","")&amp;IF(G30&lt;&gt;"",G30&amp;" sqft","")&amp;IF(AND(OR(E30&lt;&gt;"",G30&lt;&gt;""),H30&lt;&gt;"")," · ","")&amp;IF(H30&lt;&gt;"",SUBSTITUTE(SUBSTITUTE(SUBSTITUTE(SUBSTITUTE(SUBSTITUTE(SUBSTITUTE(SUBSTITUTE(SUBSTITUTE(SUBSTITUTE(SUBSTITUTE(H30,"游泳池","Swimming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0" s="31" t="str">
        <f aca="false">IF(D30&lt;&gt;"","📍 "&amp;IF(E30&lt;&gt;"",E30&amp;"Bilik ","")&amp;IF(F30&lt;&gt;"",F30&amp;"Bilik Air ","")&amp;IF(G30&lt;&gt;"",G30&amp;" sqft","")&amp;IF(AND(OR(E30&lt;&gt;"",G30&lt;&gt;""),H30&lt;&gt;"")," · ","")&amp;IF(H30&lt;&gt;"",SUBSTITUTE(SUBSTITUTE(SUBSTITUTE(SUBSTITUTE(SUBSTITUTE(SUBSTITUTE(SUBSTITUTE(SUBSTITUTE(SUBSTITUTE(SUBSTITUTE(H30,"游泳池","Kolam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0" s="32" t="str">
        <f aca="false">IF(OR(I30&lt;&gt;"",J30&lt;&gt;"",K30&lt;&gt;""),"🔒 "&amp;IF(I30&lt;&gt;"",I30,"")&amp;IF(AND(I30&lt;&gt;"",J30&lt;&gt;"")," · ","")&amp;IF(J30&lt;&gt;"",J30,"")&amp;IF(AND(OR(I30&lt;&gt;"",J30&lt;&gt;""),K30&lt;&gt;"")," · ","")&amp;IF(K30&lt;&gt;"",K30,""),"")</f>
        <v/>
      </c>
      <c r="V30" s="31" t="str">
        <f aca="false">IF(L30&lt;&gt;"","💰 起价 RM "&amp;TEXT(L30,"#,##0"),"")</f>
        <v/>
      </c>
      <c r="W30" s="31" t="str">
        <f aca="false">IF(L30&lt;&gt;"","💰 From RM "&amp;TEXT(L30,"#,##0"),"")</f>
        <v/>
      </c>
      <c r="X30" s="31" t="str">
        <f aca="false">IF(L30&lt;&gt;"","💰 Dari RM "&amp;TEXT(L30,"#,##0"),"")</f>
        <v/>
      </c>
      <c r="Y30" s="33" t="str">
        <f aca="false">IF(D30&lt;&gt;"","您好！我想咨询新楼盘：
🏠 "&amp;D30&amp;"
"&amp;IF(E30&lt;&gt;"","🛏 "&amp;E30&amp;"房"&amp;IF(F30&lt;&gt;""," "&amp;F30&amp;"卫","")&amp;"
","")&amp;IF(G30&lt;&gt;"","📐 "&amp;G30&amp;" sqft
","")&amp;IF(H30&lt;&gt;"","🏊 "&amp;H30&amp;"
","")&amp;IF(U30&lt;&gt;"",U30&amp;"
","")&amp;IF(L30&lt;&gt;"","💰 起价 RM "&amp;TEXT(L30,"#,##0")&amp;"
","")&amp;"
请问还有空档吗？谢谢！","")</f>
        <v/>
      </c>
      <c r="Z30" s="33" t="str">
        <f aca="false">IF(D30&lt;&gt;"","Hi! I'd like to make a new launch enquiry:
🏠 "&amp;P30&amp;"
"&amp;IF(E30&lt;&gt;"","🛏 "&amp;E30&amp;"BR"&amp;IF(F30&lt;&gt;""," "&amp;F30&amp;"BA","")&amp;"
","")&amp;IF(G30&lt;&gt;"","📐 "&amp;G30&amp;" sqft
","")&amp;IF(H30&lt;&gt;"","🏊 "&amp;SUBSTITUTE(SUBSTITUTE(SUBSTITUTE(SUBSTITUTE(SUBSTITUTE(SUBSTITUTE(SUBSTITUTE(SUBSTITUTE(SUBSTITUTE(SUBSTITUTE(H30,"游泳池","Swimming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Control"),""),"")&lt;&gt;"",IF(OR(I30&lt;&gt;"",J30&lt;&gt;"",K30&lt;&gt;""),"🔒 "&amp;IF(I30&lt;&gt;"",SUBSTITUTE(SUBSTITUTE(SUBSTITUTE(SUBSTITUTE(SUBSTITUTE(SUBSTITUTE(SUBSTITUTE(SUBSTITUTE(SUBSTITUTE(SUBSTITUTE(SUBSTITUTE(SUBSTITUTE(I30,"24小时保安","24hr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Control"),"")&amp;IF(AND(I30&lt;&gt;"",OR(J30&lt;&gt;"",K30&lt;&gt;""))," · ","")&amp;IF(J30&lt;&gt;"",SUBSTITUTE(SUBSTITUTE(SUBSTITUTE(SUBSTITUTE(SUBSTITUTE(SUBSTITUTE(SUBSTITUTE(SUBSTITUTE(SUBSTITUTE(SUBSTITUTE(SUBSTITUTE(SUBSTITUTE(J30,"24小时保安","24hr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Control"),"")&amp;IF(AND(J30&lt;&gt;"",K30&lt;&gt;"")," · ","")&amp;IF(K30&lt;&gt;"",SUBSTITUTE(SUBSTITUTE(SUBSTITUTE(SUBSTITUTE(SUBSTITUTE(SUBSTITUTE(SUBSTITUTE(SUBSTITUTE(SUBSTITUTE(SUBSTITUTE(SUBSTITUTE(SUBSTITUTE(K30,"24小时保安","24hr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","")&amp;IF(L30&lt;&gt;"","💰 From RM "&amp;TEXT(L30,"#,##0")&amp;"
","")&amp;"
Is this still available? Thank you!","")</f>
        <v/>
      </c>
      <c r="AA30" s="31"/>
      <c r="AB30" s="33" t="str">
        <f aca="false">IF(D30&lt;&gt;"","Helo! Saya ingin membuat pertanyaan projek baru:
🏠 "&amp;Q30&amp;"
"&amp;IF(E30&lt;&gt;"","🛏 "&amp;E30&amp;"Bilik"&amp;IF(F30&lt;&gt;""," "&amp;F30&amp;"Bilik Air","")&amp;"
","")&amp;IF(G30&lt;&gt;"","📐 "&amp;G30&amp;" sqft
","")&amp;IF(H30&lt;&gt;"","🏊 "&amp;SUBSTITUTE(SUBSTITUTE(SUBSTITUTE(SUBSTITUTE(SUBSTITUTE(SUBSTITUTE(SUBSTITUTE(SUBSTITUTE(SUBSTITUTE(SUBSTITUTE(H30,"游泳池","Kolam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Kawalan"),""),"")&lt;&gt;"",IF(OR(I30&lt;&gt;"",J30&lt;&gt;"",K30&lt;&gt;""),"🔒 "&amp;IF(I30&lt;&gt;"",SUBSTITUTE(SUBSTITUTE(SUBSTITUTE(SUBSTITUTE(SUBSTITUTE(SUBSTITUTE(SUBSTITUTE(SUBSTITUTE(SUBSTITUTE(SUBSTITUTE(SUBSTITUTE(SUBSTITUTE(I30,"24小时保安","Pengawal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Kawalan"),"")&amp;IF(AND(I30&lt;&gt;"",OR(J30&lt;&gt;"",K30&lt;&gt;""))," · ","")&amp;IF(J30&lt;&gt;"",SUBSTITUTE(SUBSTITUTE(SUBSTITUTE(SUBSTITUTE(SUBSTITUTE(SUBSTITUTE(SUBSTITUTE(SUBSTITUTE(SUBSTITUTE(SUBSTITUTE(SUBSTITUTE(SUBSTITUTE(J30,"24小时保安","Pengawal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Kawalan"),"")&amp;IF(AND(J30&lt;&gt;"",K30&lt;&gt;"")," · ","")&amp;IF(K30&lt;&gt;"",SUBSTITUTE(SUBSTITUTE(SUBSTITUTE(SUBSTITUTE(SUBSTITUTE(SUBSTITUTE(SUBSTITUTE(SUBSTITUTE(SUBSTITUTE(SUBSTITUTE(SUBSTITUTE(SUBSTITUTE(K30,"24小时保安","Pengawal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","")&amp;IF(L30&lt;&gt;"","💰 Dari RM "&amp;TEXT(L30,"#,##0")&amp;"
","")&amp;"
Adakah masih tersedia? Terima kasih!","")</f>
        <v/>
      </c>
    </row>
    <row r="31" customFormat="false" ht="51.7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9"/>
      <c r="J31" s="29"/>
      <c r="K31" s="29"/>
      <c r="L31" s="28"/>
      <c r="M31" s="30"/>
      <c r="N31" s="31" t="str">
        <f aca="false">IFERROR(ifs(B31="🏢 Condo 公寓","fa-building",B31="🏠 Apartment 单位","fa-home",B31="🌿 即租即住","fa-home",B31="🌿 近国际学校","fa-school",B31="📌 商业旺铺","fa-store",B31="🌟 海景豪宅","fa-water-ladder",B31="📈 投资优选","fa-chart-line",B31="🏞️ 花园住宅","fa-tree",B31="🌟 2026全新地标","fa-drafting-compass",B31="📈 海外投资优选","fa-globe",B31="🌆 核心地段","fa-city",B31="🔥 限时优惠","fa-fire",B31="✅ 永久产权","fa-certificate",B31="🏅 高回报","fa-medal",B31="🏖️ 度假胜地","fa-umbrella-beach",B31="🏫 学区优选","fa-graduation-cap",B31="🛣️ 交通便利","fa-road",B31="🔑 即买即住","fa-key"),"fa-home")</f>
        <v>fa-home</v>
      </c>
      <c r="O31" s="31" t="str">
        <f aca="false">IF(D31&lt;&gt;"",D31,"")</f>
        <v/>
      </c>
      <c r="P31" s="31" t="str">
        <f aca="false">IF(D31&lt;&gt;"",SUBSTITUTE(SUBSTITUTE(SUBSTITUTE(SUBSTITUTE(SUBSTITUTE(SUBSTITUTE(SUBSTITUTE(SUBSTITUTE(SUBSTITUTE(SUBSTITUTE(D31,"亚庇","Kota Kinabalu"),"公寓","Condo"),"排屋","Terrace"),"别墅","Villa"),"店铺","Shop"),"新山","Johor Bahru"),"市中心","City Centre"),"高级","Premium"),"单位","Unit"),"住宅","Residence"),"")</f>
        <v/>
      </c>
      <c r="Q31" s="31" t="str">
        <f aca="false">IF(D31&lt;&gt;"",SUBSTITUTE(SUBSTITUTE(SUBSTITUTE(SUBSTITUTE(SUBSTITUTE(SUBSTITUTE(SUBSTITUTE(SUBSTITUTE(SUBSTITUTE(SUBSTITUTE(D31,"亚庇","Kota Kinabalu"),"公寓","Kondominium"),"排屋","Rumah Teres"),"别墅","Vila"),"店铺","Kedai"),"新山","Johor Bahru"),"市中心","Pusat Bandar"),"高级","Premium"),"单位","Unit"),"住宅","Kediaman"),"")</f>
        <v/>
      </c>
      <c r="R31" s="31" t="str">
        <f aca="false">IF(D31&lt;&gt;"","📍 "&amp;IF(E31&lt;&gt;"",E31&amp;"房","")&amp;IF(F31&lt;&gt;"",F31&amp;"卫 ","")&amp;IF(G31&lt;&gt;"",G31&amp;" sqft","")&amp;IF(AND(OR(E31&lt;&gt;"",G31&lt;&gt;""),H31&lt;&gt;"")," · ","")&amp;IF(H31&lt;&gt;"",H31,""),"")</f>
        <v/>
      </c>
      <c r="S31" s="31" t="str">
        <f aca="false">IF(D31&lt;&gt;"","📍 "&amp;IF(E31&lt;&gt;"",E31&amp;"BR ","")&amp;IF(F31&lt;&gt;"",F31&amp;"BA ","")&amp;IF(G31&lt;&gt;"",G31&amp;" sqft","")&amp;IF(AND(OR(E31&lt;&gt;"",G31&lt;&gt;""),H31&lt;&gt;"")," · ","")&amp;IF(H31&lt;&gt;"",SUBSTITUTE(SUBSTITUTE(SUBSTITUTE(SUBSTITUTE(SUBSTITUTE(SUBSTITUTE(SUBSTITUTE(SUBSTITUTE(SUBSTITUTE(SUBSTITUTE(H31,"游泳池","Swimming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1" s="31" t="str">
        <f aca="false">IF(D31&lt;&gt;"","📍 "&amp;IF(E31&lt;&gt;"",E31&amp;"Bilik ","")&amp;IF(F31&lt;&gt;"",F31&amp;"Bilik Air ","")&amp;IF(G31&lt;&gt;"",G31&amp;" sqft","")&amp;IF(AND(OR(E31&lt;&gt;"",G31&lt;&gt;""),H31&lt;&gt;"")," · ","")&amp;IF(H31&lt;&gt;"",SUBSTITUTE(SUBSTITUTE(SUBSTITUTE(SUBSTITUTE(SUBSTITUTE(SUBSTITUTE(SUBSTITUTE(SUBSTITUTE(SUBSTITUTE(SUBSTITUTE(H31,"游泳池","Kolam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1" s="32" t="str">
        <f aca="false">IF(OR(I31&lt;&gt;"",J31&lt;&gt;"",K31&lt;&gt;""),"🔒 "&amp;IF(I31&lt;&gt;"",I31,"")&amp;IF(AND(I31&lt;&gt;"",J31&lt;&gt;"")," · ","")&amp;IF(J31&lt;&gt;"",J31,"")&amp;IF(AND(OR(I31&lt;&gt;"",J31&lt;&gt;""),K31&lt;&gt;"")," · ","")&amp;IF(K31&lt;&gt;"",K31,""),"")</f>
        <v/>
      </c>
      <c r="V31" s="31" t="str">
        <f aca="false">IF(L31&lt;&gt;"","💰 起价 RM "&amp;TEXT(L31,"#,##0"),"")</f>
        <v/>
      </c>
      <c r="W31" s="31" t="str">
        <f aca="false">IF(L31&lt;&gt;"","💰 From RM "&amp;TEXT(L31,"#,##0"),"")</f>
        <v/>
      </c>
      <c r="X31" s="31" t="str">
        <f aca="false">IF(L31&lt;&gt;"","💰 Dari RM "&amp;TEXT(L31,"#,##0"),"")</f>
        <v/>
      </c>
      <c r="Y31" s="33" t="str">
        <f aca="false">IF(D31&lt;&gt;"","您好！我想咨询新楼盘：
🏠 "&amp;D31&amp;"
"&amp;IF(E31&lt;&gt;"","🛏 "&amp;E31&amp;"房"&amp;IF(F31&lt;&gt;""," "&amp;F31&amp;"卫","")&amp;"
","")&amp;IF(G31&lt;&gt;"","📐 "&amp;G31&amp;" sqft
","")&amp;IF(H31&lt;&gt;"","🏊 "&amp;H31&amp;"
","")&amp;IF(U31&lt;&gt;"",U31&amp;"
","")&amp;IF(L31&lt;&gt;"","💰 起价 RM "&amp;TEXT(L31,"#,##0")&amp;"
","")&amp;"
请问还有空档吗？谢谢！","")</f>
        <v/>
      </c>
      <c r="Z31" s="33" t="str">
        <f aca="false">IF(D31&lt;&gt;"","Hi! I'd like to make a new launch enquiry:
🏠 "&amp;P31&amp;"
"&amp;IF(E31&lt;&gt;"","🛏 "&amp;E31&amp;"BR"&amp;IF(F31&lt;&gt;""," "&amp;F31&amp;"BA","")&amp;"
","")&amp;IF(G31&lt;&gt;"","📐 "&amp;G31&amp;" sqft
","")&amp;IF(H31&lt;&gt;"","🏊 "&amp;SUBSTITUTE(SUBSTITUTE(SUBSTITUTE(SUBSTITUTE(SUBSTITUTE(SUBSTITUTE(SUBSTITUTE(SUBSTITUTE(SUBSTITUTE(SUBSTITUTE(H31,"游泳池","Swimming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Control"),""),"")&lt;&gt;"",IF(OR(I31&lt;&gt;"",J31&lt;&gt;"",K31&lt;&gt;""),"🔒 "&amp;IF(I31&lt;&gt;"",SUBSTITUTE(SUBSTITUTE(SUBSTITUTE(SUBSTITUTE(SUBSTITUTE(SUBSTITUTE(SUBSTITUTE(SUBSTITUTE(SUBSTITUTE(SUBSTITUTE(SUBSTITUTE(SUBSTITUTE(I31,"24小时保安","24hr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Control"),"")&amp;IF(AND(I31&lt;&gt;"",OR(J31&lt;&gt;"",K31&lt;&gt;""))," · ","")&amp;IF(J31&lt;&gt;"",SUBSTITUTE(SUBSTITUTE(SUBSTITUTE(SUBSTITUTE(SUBSTITUTE(SUBSTITUTE(SUBSTITUTE(SUBSTITUTE(SUBSTITUTE(SUBSTITUTE(SUBSTITUTE(SUBSTITUTE(J31,"24小时保安","24hr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Control"),"")&amp;IF(AND(J31&lt;&gt;"",K31&lt;&gt;"")," · ","")&amp;IF(K31&lt;&gt;"",SUBSTITUTE(SUBSTITUTE(SUBSTITUTE(SUBSTITUTE(SUBSTITUTE(SUBSTITUTE(SUBSTITUTE(SUBSTITUTE(SUBSTITUTE(SUBSTITUTE(SUBSTITUTE(SUBSTITUTE(K31,"24小时保安","24hr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","")&amp;IF(L31&lt;&gt;"","💰 From RM "&amp;TEXT(L31,"#,##0")&amp;"
","")&amp;"
Is this still available? Thank you!","")</f>
        <v/>
      </c>
      <c r="AA31" s="31"/>
      <c r="AB31" s="33" t="str">
        <f aca="false">IF(D31&lt;&gt;"","Helo! Saya ingin membuat pertanyaan projek baru:
🏠 "&amp;Q31&amp;"
"&amp;IF(E31&lt;&gt;"","🛏 "&amp;E31&amp;"Bilik"&amp;IF(F31&lt;&gt;""," "&amp;F31&amp;"Bilik Air","")&amp;"
","")&amp;IF(G31&lt;&gt;"","📐 "&amp;G31&amp;" sqft
","")&amp;IF(H31&lt;&gt;"","🏊 "&amp;SUBSTITUTE(SUBSTITUTE(SUBSTITUTE(SUBSTITUTE(SUBSTITUTE(SUBSTITUTE(SUBSTITUTE(SUBSTITUTE(SUBSTITUTE(SUBSTITUTE(H31,"游泳池","Kolam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Kawalan"),""),"")&lt;&gt;"",IF(OR(I31&lt;&gt;"",J31&lt;&gt;"",K31&lt;&gt;""),"🔒 "&amp;IF(I31&lt;&gt;"",SUBSTITUTE(SUBSTITUTE(SUBSTITUTE(SUBSTITUTE(SUBSTITUTE(SUBSTITUTE(SUBSTITUTE(SUBSTITUTE(SUBSTITUTE(SUBSTITUTE(SUBSTITUTE(SUBSTITUTE(I31,"24小时保安","Pengawal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Kawalan"),"")&amp;IF(AND(I31&lt;&gt;"",OR(J31&lt;&gt;"",K31&lt;&gt;""))," · ","")&amp;IF(J31&lt;&gt;"",SUBSTITUTE(SUBSTITUTE(SUBSTITUTE(SUBSTITUTE(SUBSTITUTE(SUBSTITUTE(SUBSTITUTE(SUBSTITUTE(SUBSTITUTE(SUBSTITUTE(SUBSTITUTE(SUBSTITUTE(J31,"24小时保安","Pengawal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Kawalan"),"")&amp;IF(AND(J31&lt;&gt;"",K31&lt;&gt;"")," · ","")&amp;IF(K31&lt;&gt;"",SUBSTITUTE(SUBSTITUTE(SUBSTITUTE(SUBSTITUTE(SUBSTITUTE(SUBSTITUTE(SUBSTITUTE(SUBSTITUTE(SUBSTITUTE(SUBSTITUTE(SUBSTITUTE(SUBSTITUTE(K31,"24小时保安","Pengawal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","")&amp;IF(L31&lt;&gt;"","💰 Dari RM "&amp;TEXT(L31,"#,##0")&amp;"
","")&amp;"
Adakah masih tersedia? Terima kasih!","")</f>
        <v/>
      </c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9"/>
      <c r="J32" s="29"/>
      <c r="K32" s="29"/>
      <c r="L32" s="28"/>
      <c r="M32" s="30"/>
      <c r="N32" s="31" t="str">
        <f aca="false">IFERROR(ifs(B32="🏢 Condo 公寓","fa-building",B32="🏠 Apartment 单位","fa-home",B32="🌿 即租即住","fa-home",B32="🌿 近国际学校","fa-school",B32="📌 商业旺铺","fa-store",B32="🌟 海景豪宅","fa-water-ladder",B32="📈 投资优选","fa-chart-line",B32="🏞️ 花园住宅","fa-tree",B32="🌟 2026全新地标","fa-drafting-compass",B32="📈 海外投资优选","fa-globe",B32="🌆 核心地段","fa-city",B32="🔥 限时优惠","fa-fire",B32="✅ 永久产权","fa-certificate",B32="🏅 高回报","fa-medal",B32="🏖️ 度假胜地","fa-umbrella-beach",B32="🏫 学区优选","fa-graduation-cap",B32="🛣️ 交通便利","fa-road",B32="🔑 即买即住","fa-key"),"fa-home")</f>
        <v>fa-home</v>
      </c>
      <c r="O32" s="31" t="str">
        <f aca="false">IF(D32&lt;&gt;"",D32,"")</f>
        <v/>
      </c>
      <c r="P32" s="31" t="str">
        <f aca="false">IF(D32&lt;&gt;"",SUBSTITUTE(SUBSTITUTE(SUBSTITUTE(SUBSTITUTE(SUBSTITUTE(SUBSTITUTE(SUBSTITUTE(SUBSTITUTE(SUBSTITUTE(SUBSTITUTE(D32,"亚庇","Kota Kinabalu"),"公寓","Condo"),"排屋","Terrace"),"别墅","Villa"),"店铺","Shop"),"新山","Johor Bahru"),"市中心","City Centre"),"高级","Premium"),"单位","Unit"),"住宅","Residence"),"")</f>
        <v/>
      </c>
      <c r="Q32" s="31" t="str">
        <f aca="false">IF(D32&lt;&gt;"",SUBSTITUTE(SUBSTITUTE(SUBSTITUTE(SUBSTITUTE(SUBSTITUTE(SUBSTITUTE(SUBSTITUTE(SUBSTITUTE(SUBSTITUTE(SUBSTITUTE(D32,"亚庇","Kota Kinabalu"),"公寓","Kondominium"),"排屋","Rumah Teres"),"别墅","Vila"),"店铺","Kedai"),"新山","Johor Bahru"),"市中心","Pusat Bandar"),"高级","Premium"),"单位","Unit"),"住宅","Kediaman"),"")</f>
        <v/>
      </c>
      <c r="R32" s="31" t="str">
        <f aca="false">IF(D32&lt;&gt;"","📍 "&amp;IF(E32&lt;&gt;"",E32&amp;"房","")&amp;IF(F32&lt;&gt;"",F32&amp;"卫 ","")&amp;IF(G32&lt;&gt;"",G32&amp;" sqft","")&amp;IF(AND(OR(E32&lt;&gt;"",G32&lt;&gt;""),H32&lt;&gt;"")," · ","")&amp;IF(H32&lt;&gt;"",H32,""),"")</f>
        <v/>
      </c>
      <c r="S32" s="31" t="str">
        <f aca="false">IF(D32&lt;&gt;"","📍 "&amp;IF(E32&lt;&gt;"",E32&amp;"BR ","")&amp;IF(F32&lt;&gt;"",F32&amp;"BA ","")&amp;IF(G32&lt;&gt;"",G32&amp;" sqft","")&amp;IF(AND(OR(E32&lt;&gt;"",G32&lt;&gt;""),H32&lt;&gt;"")," · ","")&amp;IF(H32&lt;&gt;"",SUBSTITUTE(SUBSTITUTE(SUBSTITUTE(SUBSTITUTE(SUBSTITUTE(SUBSTITUTE(SUBSTITUTE(SUBSTITUTE(SUBSTITUTE(SUBSTITUTE(H32,"游泳池","Swimming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2" s="31" t="str">
        <f aca="false">IF(D32&lt;&gt;"","📍 "&amp;IF(E32&lt;&gt;"",E32&amp;"Bilik ","")&amp;IF(F32&lt;&gt;"",F32&amp;"Bilik Air ","")&amp;IF(G32&lt;&gt;"",G32&amp;" sqft","")&amp;IF(AND(OR(E32&lt;&gt;"",G32&lt;&gt;""),H32&lt;&gt;"")," · ","")&amp;IF(H32&lt;&gt;"",SUBSTITUTE(SUBSTITUTE(SUBSTITUTE(SUBSTITUTE(SUBSTITUTE(SUBSTITUTE(SUBSTITUTE(SUBSTITUTE(SUBSTITUTE(SUBSTITUTE(H32,"游泳池","Kolam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2" s="32" t="str">
        <f aca="false">IF(OR(I32&lt;&gt;"",J32&lt;&gt;"",K32&lt;&gt;""),"🔒 "&amp;IF(I32&lt;&gt;"",I32,"")&amp;IF(AND(I32&lt;&gt;"",J32&lt;&gt;"")," · ","")&amp;IF(J32&lt;&gt;"",J32,"")&amp;IF(AND(OR(I32&lt;&gt;"",J32&lt;&gt;""),K32&lt;&gt;"")," · ","")&amp;IF(K32&lt;&gt;"",K32,""),"")</f>
        <v/>
      </c>
      <c r="V32" s="31" t="str">
        <f aca="false">IF(L32&lt;&gt;"","💰 起价 RM "&amp;TEXT(L32,"#,##0"),"")</f>
        <v/>
      </c>
      <c r="W32" s="31" t="str">
        <f aca="false">IF(L32&lt;&gt;"","💰 From RM "&amp;TEXT(L32,"#,##0"),"")</f>
        <v/>
      </c>
      <c r="X32" s="31" t="str">
        <f aca="false">IF(L32&lt;&gt;"","💰 Dari RM "&amp;TEXT(L32,"#,##0"),"")</f>
        <v/>
      </c>
      <c r="Y32" s="33" t="str">
        <f aca="false">IF(D32&lt;&gt;"","您好！我想咨询新楼盘：
🏠 "&amp;D32&amp;"
"&amp;IF(E32&lt;&gt;"","🛏 "&amp;E32&amp;"房"&amp;IF(F32&lt;&gt;""," "&amp;F32&amp;"卫","")&amp;"
","")&amp;IF(G32&lt;&gt;"","📐 "&amp;G32&amp;" sqft
","")&amp;IF(H32&lt;&gt;"","🏊 "&amp;H32&amp;"
","")&amp;IF(U32&lt;&gt;"",U32&amp;"
","")&amp;IF(L32&lt;&gt;"","💰 起价 RM "&amp;TEXT(L32,"#,##0")&amp;"
","")&amp;"
请问还有空档吗？谢谢！","")</f>
        <v/>
      </c>
      <c r="Z32" s="33" t="str">
        <f aca="false">IF(D32&lt;&gt;"","Hi! I'd like to make a new launch enquiry:
🏠 "&amp;P32&amp;"
"&amp;IF(E32&lt;&gt;"","🛏 "&amp;E32&amp;"BR"&amp;IF(F32&lt;&gt;""," "&amp;F32&amp;"BA","")&amp;"
","")&amp;IF(G32&lt;&gt;"","📐 "&amp;G32&amp;" sqft
","")&amp;IF(H32&lt;&gt;"","🏊 "&amp;SUBSTITUTE(SUBSTITUTE(SUBSTITUTE(SUBSTITUTE(SUBSTITUTE(SUBSTITUTE(SUBSTITUTE(SUBSTITUTE(SUBSTITUTE(SUBSTITUTE(H32,"游泳池","Swimming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Control"),""),"")&lt;&gt;"",IF(OR(I32&lt;&gt;"",J32&lt;&gt;"",K32&lt;&gt;""),"🔒 "&amp;IF(I32&lt;&gt;"",SUBSTITUTE(SUBSTITUTE(SUBSTITUTE(SUBSTITUTE(SUBSTITUTE(SUBSTITUTE(SUBSTITUTE(SUBSTITUTE(SUBSTITUTE(SUBSTITUTE(SUBSTITUTE(SUBSTITUTE(I32,"24小时保安","24hr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Control"),"")&amp;IF(AND(I32&lt;&gt;"",OR(J32&lt;&gt;"",K32&lt;&gt;""))," · ","")&amp;IF(J32&lt;&gt;"",SUBSTITUTE(SUBSTITUTE(SUBSTITUTE(SUBSTITUTE(SUBSTITUTE(SUBSTITUTE(SUBSTITUTE(SUBSTITUTE(SUBSTITUTE(SUBSTITUTE(SUBSTITUTE(SUBSTITUTE(J32,"24小时保安","24hr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Control"),"")&amp;IF(AND(J32&lt;&gt;"",K32&lt;&gt;"")," · ","")&amp;IF(K32&lt;&gt;"",SUBSTITUTE(SUBSTITUTE(SUBSTITUTE(SUBSTITUTE(SUBSTITUTE(SUBSTITUTE(SUBSTITUTE(SUBSTITUTE(SUBSTITUTE(SUBSTITUTE(SUBSTITUTE(SUBSTITUTE(K32,"24小时保安","24hr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","")&amp;IF(L32&lt;&gt;"","💰 From RM "&amp;TEXT(L32,"#,##0")&amp;"
","")&amp;"
Is this still available? Thank you!","")</f>
        <v/>
      </c>
      <c r="AA32" s="31"/>
      <c r="AB32" s="33" t="str">
        <f aca="false">IF(D32&lt;&gt;"","Helo! Saya ingin membuat pertanyaan projek baru:
🏠 "&amp;Q32&amp;"
"&amp;IF(E32&lt;&gt;"","🛏 "&amp;E32&amp;"Bilik"&amp;IF(F32&lt;&gt;""," "&amp;F32&amp;"Bilik Air","")&amp;"
","")&amp;IF(G32&lt;&gt;"","📐 "&amp;G32&amp;" sqft
","")&amp;IF(H32&lt;&gt;"","🏊 "&amp;SUBSTITUTE(SUBSTITUTE(SUBSTITUTE(SUBSTITUTE(SUBSTITUTE(SUBSTITUTE(SUBSTITUTE(SUBSTITUTE(SUBSTITUTE(SUBSTITUTE(H32,"游泳池","Kolam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Kawalan"),""),"")&lt;&gt;"",IF(OR(I32&lt;&gt;"",J32&lt;&gt;"",K32&lt;&gt;""),"🔒 "&amp;IF(I32&lt;&gt;"",SUBSTITUTE(SUBSTITUTE(SUBSTITUTE(SUBSTITUTE(SUBSTITUTE(SUBSTITUTE(SUBSTITUTE(SUBSTITUTE(SUBSTITUTE(SUBSTITUTE(SUBSTITUTE(SUBSTITUTE(I32,"24小时保安","Pengawal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Kawalan"),"")&amp;IF(AND(I32&lt;&gt;"",OR(J32&lt;&gt;"",K32&lt;&gt;""))," · ","")&amp;IF(J32&lt;&gt;"",SUBSTITUTE(SUBSTITUTE(SUBSTITUTE(SUBSTITUTE(SUBSTITUTE(SUBSTITUTE(SUBSTITUTE(SUBSTITUTE(SUBSTITUTE(SUBSTITUTE(SUBSTITUTE(SUBSTITUTE(J32,"24小时保安","Pengawal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Kawalan"),"")&amp;IF(AND(J32&lt;&gt;"",K32&lt;&gt;"")," · ","")&amp;IF(K32&lt;&gt;"",SUBSTITUTE(SUBSTITUTE(SUBSTITUTE(SUBSTITUTE(SUBSTITUTE(SUBSTITUTE(SUBSTITUTE(SUBSTITUTE(SUBSTITUTE(SUBSTITUTE(SUBSTITUTE(SUBSTITUTE(K32,"24小时保安","Pengawal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","")&amp;IF(L32&lt;&gt;"","💰 Dari RM "&amp;TEXT(L32,"#,##0")&amp;"
","")&amp;"
Adakah masih tersedia? Terima kasih!","")</f>
        <v/>
      </c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9"/>
      <c r="J33" s="29"/>
      <c r="K33" s="29"/>
      <c r="L33" s="28"/>
      <c r="M33" s="30"/>
      <c r="N33" s="31" t="str">
        <f aca="false">IFERROR(ifs(B33="🏢 Condo 公寓","fa-building",B33="🏠 Apartment 单位","fa-home",B33="🌿 即租即住","fa-home",B33="🌿 近国际学校","fa-school",B33="📌 商业旺铺","fa-store",B33="🌟 海景豪宅","fa-water-ladder",B33="📈 投资优选","fa-chart-line",B33="🏞️ 花园住宅","fa-tree",B33="🌟 2026全新地标","fa-drafting-compass",B33="📈 海外投资优选","fa-globe",B33="🌆 核心地段","fa-city",B33="🔥 限时优惠","fa-fire",B33="✅ 永久产权","fa-certificate",B33="🏅 高回报","fa-medal",B33="🏖️ 度假胜地","fa-umbrella-beach",B33="🏫 学区优选","fa-graduation-cap",B33="🛣️ 交通便利","fa-road",B33="🔑 即买即住","fa-key"),"fa-home")</f>
        <v>fa-home</v>
      </c>
      <c r="O33" s="31" t="str">
        <f aca="false">IF(D33&lt;&gt;"",D33,"")</f>
        <v/>
      </c>
      <c r="P33" s="31" t="str">
        <f aca="false">IF(D33&lt;&gt;"",SUBSTITUTE(SUBSTITUTE(SUBSTITUTE(SUBSTITUTE(SUBSTITUTE(SUBSTITUTE(SUBSTITUTE(SUBSTITUTE(SUBSTITUTE(SUBSTITUTE(D33,"亚庇","Kota Kinabalu"),"公寓","Condo"),"排屋","Terrace"),"别墅","Villa"),"店铺","Shop"),"新山","Johor Bahru"),"市中心","City Centre"),"高级","Premium"),"单位","Unit"),"住宅","Residence"),"")</f>
        <v/>
      </c>
      <c r="Q33" s="31" t="str">
        <f aca="false">IF(D33&lt;&gt;"",SUBSTITUTE(SUBSTITUTE(SUBSTITUTE(SUBSTITUTE(SUBSTITUTE(SUBSTITUTE(SUBSTITUTE(SUBSTITUTE(SUBSTITUTE(SUBSTITUTE(D33,"亚庇","Kota Kinabalu"),"公寓","Kondominium"),"排屋","Rumah Teres"),"别墅","Vila"),"店铺","Kedai"),"新山","Johor Bahru"),"市中心","Pusat Bandar"),"高级","Premium"),"单位","Unit"),"住宅","Kediaman"),"")</f>
        <v/>
      </c>
      <c r="R33" s="31" t="str">
        <f aca="false">IF(D33&lt;&gt;"","📍 "&amp;IF(E33&lt;&gt;"",E33&amp;"房","")&amp;IF(F33&lt;&gt;"",F33&amp;"卫 ","")&amp;IF(G33&lt;&gt;"",G33&amp;" sqft","")&amp;IF(AND(OR(E33&lt;&gt;"",G33&lt;&gt;""),H33&lt;&gt;"")," · ","")&amp;IF(H33&lt;&gt;"",H33,""),"")</f>
        <v/>
      </c>
      <c r="S33" s="31" t="str">
        <f aca="false">IF(D33&lt;&gt;"","📍 "&amp;IF(E33&lt;&gt;"",E33&amp;"BR ","")&amp;IF(F33&lt;&gt;"",F33&amp;"BA ","")&amp;IF(G33&lt;&gt;"",G33&amp;" sqft","")&amp;IF(AND(OR(E33&lt;&gt;"",G33&lt;&gt;""),H33&lt;&gt;"")," · ","")&amp;IF(H33&lt;&gt;"",SUBSTITUTE(SUBSTITUTE(SUBSTITUTE(SUBSTITUTE(SUBSTITUTE(SUBSTITUTE(SUBSTITUTE(SUBSTITUTE(SUBSTITUTE(SUBSTITUTE(H33,"游泳池","Swimming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3" s="31" t="str">
        <f aca="false">IF(D33&lt;&gt;"","📍 "&amp;IF(E33&lt;&gt;"",E33&amp;"Bilik ","")&amp;IF(F33&lt;&gt;"",F33&amp;"Bilik Air ","")&amp;IF(G33&lt;&gt;"",G33&amp;" sqft","")&amp;IF(AND(OR(E33&lt;&gt;"",G33&lt;&gt;""),H33&lt;&gt;"")," · ","")&amp;IF(H33&lt;&gt;"",SUBSTITUTE(SUBSTITUTE(SUBSTITUTE(SUBSTITUTE(SUBSTITUTE(SUBSTITUTE(SUBSTITUTE(SUBSTITUTE(SUBSTITUTE(SUBSTITUTE(H33,"游泳池","Kolam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3" s="32" t="str">
        <f aca="false">IF(OR(I33&lt;&gt;"",J33&lt;&gt;"",K33&lt;&gt;""),"🔒 "&amp;IF(I33&lt;&gt;"",I33,"")&amp;IF(AND(I33&lt;&gt;"",J33&lt;&gt;"")," · ","")&amp;IF(J33&lt;&gt;"",J33,"")&amp;IF(AND(OR(I33&lt;&gt;"",J33&lt;&gt;""),K33&lt;&gt;"")," · ","")&amp;IF(K33&lt;&gt;"",K33,""),"")</f>
        <v/>
      </c>
      <c r="V33" s="31" t="str">
        <f aca="false">IF(L33&lt;&gt;"","💰 起价 RM "&amp;TEXT(L33,"#,##0"),"")</f>
        <v/>
      </c>
      <c r="W33" s="31" t="str">
        <f aca="false">IF(L33&lt;&gt;"","💰 From RM "&amp;TEXT(L33,"#,##0"),"")</f>
        <v/>
      </c>
      <c r="X33" s="31" t="str">
        <f aca="false">IF(L33&lt;&gt;"","💰 Dari RM "&amp;TEXT(L33,"#,##0"),"")</f>
        <v/>
      </c>
      <c r="Y33" s="33" t="str">
        <f aca="false">IF(D33&lt;&gt;"","您好！我想咨询新楼盘：
🏠 "&amp;D33&amp;"
"&amp;IF(E33&lt;&gt;"","🛏 "&amp;E33&amp;"房"&amp;IF(F33&lt;&gt;""," "&amp;F33&amp;"卫","")&amp;"
","")&amp;IF(G33&lt;&gt;"","📐 "&amp;G33&amp;" sqft
","")&amp;IF(H33&lt;&gt;"","🏊 "&amp;H33&amp;"
","")&amp;IF(U33&lt;&gt;"",U33&amp;"
","")&amp;IF(L33&lt;&gt;"","💰 起价 RM "&amp;TEXT(L33,"#,##0")&amp;"
","")&amp;"
请问还有空档吗？谢谢！","")</f>
        <v/>
      </c>
      <c r="Z33" s="33" t="str">
        <f aca="false">IF(D33&lt;&gt;"","Hi! I'd like to make a new launch enquiry:
🏠 "&amp;P33&amp;"
"&amp;IF(E33&lt;&gt;"","🛏 "&amp;E33&amp;"BR"&amp;IF(F33&lt;&gt;""," "&amp;F33&amp;"BA","")&amp;"
","")&amp;IF(G33&lt;&gt;"","📐 "&amp;G33&amp;" sqft
","")&amp;IF(H33&lt;&gt;"","🏊 "&amp;SUBSTITUTE(SUBSTITUTE(SUBSTITUTE(SUBSTITUTE(SUBSTITUTE(SUBSTITUTE(SUBSTITUTE(SUBSTITUTE(SUBSTITUTE(SUBSTITUTE(H33,"游泳池","Swimming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Control"),""),"")&lt;&gt;"",IF(OR(I33&lt;&gt;"",J33&lt;&gt;"",K33&lt;&gt;""),"🔒 "&amp;IF(I33&lt;&gt;"",SUBSTITUTE(SUBSTITUTE(SUBSTITUTE(SUBSTITUTE(SUBSTITUTE(SUBSTITUTE(SUBSTITUTE(SUBSTITUTE(SUBSTITUTE(SUBSTITUTE(SUBSTITUTE(SUBSTITUTE(I33,"24小时保安","24hr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Control"),"")&amp;IF(AND(I33&lt;&gt;"",OR(J33&lt;&gt;"",K33&lt;&gt;""))," · ","")&amp;IF(J33&lt;&gt;"",SUBSTITUTE(SUBSTITUTE(SUBSTITUTE(SUBSTITUTE(SUBSTITUTE(SUBSTITUTE(SUBSTITUTE(SUBSTITUTE(SUBSTITUTE(SUBSTITUTE(SUBSTITUTE(SUBSTITUTE(J33,"24小时保安","24hr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Control"),"")&amp;IF(AND(J33&lt;&gt;"",K33&lt;&gt;"")," · ","")&amp;IF(K33&lt;&gt;"",SUBSTITUTE(SUBSTITUTE(SUBSTITUTE(SUBSTITUTE(SUBSTITUTE(SUBSTITUTE(SUBSTITUTE(SUBSTITUTE(SUBSTITUTE(SUBSTITUTE(SUBSTITUTE(SUBSTITUTE(K33,"24小时保安","24hr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","")&amp;IF(L33&lt;&gt;"","💰 From RM "&amp;TEXT(L33,"#,##0")&amp;"
","")&amp;"
Is this still available? Thank you!","")</f>
        <v/>
      </c>
      <c r="AA33" s="31"/>
      <c r="AB33" s="33" t="str">
        <f aca="false">IF(D33&lt;&gt;"","Helo! Saya ingin membuat pertanyaan projek baru:
🏠 "&amp;Q33&amp;"
"&amp;IF(E33&lt;&gt;"","🛏 "&amp;E33&amp;"Bilik"&amp;IF(F33&lt;&gt;""," "&amp;F33&amp;"Bilik Air","")&amp;"
","")&amp;IF(G33&lt;&gt;"","📐 "&amp;G33&amp;" sqft
","")&amp;IF(H33&lt;&gt;"","🏊 "&amp;SUBSTITUTE(SUBSTITUTE(SUBSTITUTE(SUBSTITUTE(SUBSTITUTE(SUBSTITUTE(SUBSTITUTE(SUBSTITUTE(SUBSTITUTE(SUBSTITUTE(H33,"游泳池","Kolam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Kawalan"),""),"")&lt;&gt;"",IF(OR(I33&lt;&gt;"",J33&lt;&gt;"",K33&lt;&gt;""),"🔒 "&amp;IF(I33&lt;&gt;"",SUBSTITUTE(SUBSTITUTE(SUBSTITUTE(SUBSTITUTE(SUBSTITUTE(SUBSTITUTE(SUBSTITUTE(SUBSTITUTE(SUBSTITUTE(SUBSTITUTE(SUBSTITUTE(SUBSTITUTE(I33,"24小时保安","Pengawal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Kawalan"),"")&amp;IF(AND(I33&lt;&gt;"",OR(J33&lt;&gt;"",K33&lt;&gt;""))," · ","")&amp;IF(J33&lt;&gt;"",SUBSTITUTE(SUBSTITUTE(SUBSTITUTE(SUBSTITUTE(SUBSTITUTE(SUBSTITUTE(SUBSTITUTE(SUBSTITUTE(SUBSTITUTE(SUBSTITUTE(SUBSTITUTE(SUBSTITUTE(J33,"24小时保安","Pengawal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Kawalan"),"")&amp;IF(AND(J33&lt;&gt;"",K33&lt;&gt;"")," · ","")&amp;IF(K33&lt;&gt;"",SUBSTITUTE(SUBSTITUTE(SUBSTITUTE(SUBSTITUTE(SUBSTITUTE(SUBSTITUTE(SUBSTITUTE(SUBSTITUTE(SUBSTITUTE(SUBSTITUTE(SUBSTITUTE(SUBSTITUTE(K33,"24小时保安","Pengawal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","")&amp;IF(L33&lt;&gt;"","💰 Dari RM "&amp;TEXT(L33,"#,##0")&amp;"
","")&amp;"
Adakah masih tersedia? Terima kasih!","")</f>
        <v/>
      </c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9"/>
      <c r="J34" s="29"/>
      <c r="K34" s="29"/>
      <c r="L34" s="28"/>
      <c r="M34" s="30"/>
      <c r="N34" s="31" t="str">
        <f aca="false">IFERROR(ifs(B34="🏢 Condo 公寓","fa-building",B34="🏠 Apartment 单位","fa-home",B34="🌿 即租即住","fa-home",B34="🌿 近国际学校","fa-school",B34="📌 商业旺铺","fa-store",B34="🌟 海景豪宅","fa-water-ladder",B34="📈 投资优选","fa-chart-line",B34="🏞️ 花园住宅","fa-tree",B34="🌟 2026全新地标","fa-drafting-compass",B34="📈 海外投资优选","fa-globe",B34="🌆 核心地段","fa-city",B34="🔥 限时优惠","fa-fire",B34="✅ 永久产权","fa-certificate",B34="🏅 高回报","fa-medal",B34="🏖️ 度假胜地","fa-umbrella-beach",B34="🏫 学区优选","fa-graduation-cap",B34="🛣️ 交通便利","fa-road",B34="🔑 即买即住","fa-key"),"fa-home")</f>
        <v>fa-home</v>
      </c>
      <c r="O34" s="31" t="str">
        <f aca="false">IF(D34&lt;&gt;"",D34,"")</f>
        <v/>
      </c>
      <c r="P34" s="31" t="str">
        <f aca="false">IF(D34&lt;&gt;"",SUBSTITUTE(SUBSTITUTE(SUBSTITUTE(SUBSTITUTE(SUBSTITUTE(SUBSTITUTE(SUBSTITUTE(SUBSTITUTE(SUBSTITUTE(SUBSTITUTE(D34,"亚庇","Kota Kinabalu"),"公寓","Condo"),"排屋","Terrace"),"别墅","Villa"),"店铺","Shop"),"新山","Johor Bahru"),"市中心","City Centre"),"高级","Premium"),"单位","Unit"),"住宅","Residence"),"")</f>
        <v/>
      </c>
      <c r="Q34" s="31" t="str">
        <f aca="false">IF(D34&lt;&gt;"",SUBSTITUTE(SUBSTITUTE(SUBSTITUTE(SUBSTITUTE(SUBSTITUTE(SUBSTITUTE(SUBSTITUTE(SUBSTITUTE(SUBSTITUTE(SUBSTITUTE(D34,"亚庇","Kota Kinabalu"),"公寓","Kondominium"),"排屋","Rumah Teres"),"别墅","Vila"),"店铺","Kedai"),"新山","Johor Bahru"),"市中心","Pusat Bandar"),"高级","Premium"),"单位","Unit"),"住宅","Kediaman"),"")</f>
        <v/>
      </c>
      <c r="R34" s="31" t="str">
        <f aca="false">IF(D34&lt;&gt;"","📍 "&amp;IF(E34&lt;&gt;"",E34&amp;"房","")&amp;IF(F34&lt;&gt;"",F34&amp;"卫 ","")&amp;IF(G34&lt;&gt;"",G34&amp;" sqft","")&amp;IF(AND(OR(E34&lt;&gt;"",G34&lt;&gt;""),H34&lt;&gt;"")," · ","")&amp;IF(H34&lt;&gt;"",H34,""),"")</f>
        <v/>
      </c>
      <c r="S34" s="31" t="str">
        <f aca="false">IF(D34&lt;&gt;"","📍 "&amp;IF(E34&lt;&gt;"",E34&amp;"BR ","")&amp;IF(F34&lt;&gt;"",F34&amp;"BA ","")&amp;IF(G34&lt;&gt;"",G34&amp;" sqft","")&amp;IF(AND(OR(E34&lt;&gt;"",G34&lt;&gt;""),H34&lt;&gt;"")," · ","")&amp;IF(H34&lt;&gt;"",SUBSTITUTE(SUBSTITUTE(SUBSTITUTE(SUBSTITUTE(SUBSTITUTE(SUBSTITUTE(SUBSTITUTE(SUBSTITUTE(SUBSTITUTE(SUBSTITUTE(H34,"游泳池","Swimming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4" s="31" t="str">
        <f aca="false">IF(D34&lt;&gt;"","📍 "&amp;IF(E34&lt;&gt;"",E34&amp;"Bilik ","")&amp;IF(F34&lt;&gt;"",F34&amp;"Bilik Air ","")&amp;IF(G34&lt;&gt;"",G34&amp;" sqft","")&amp;IF(AND(OR(E34&lt;&gt;"",G34&lt;&gt;""),H34&lt;&gt;"")," · ","")&amp;IF(H34&lt;&gt;"",SUBSTITUTE(SUBSTITUTE(SUBSTITUTE(SUBSTITUTE(SUBSTITUTE(SUBSTITUTE(SUBSTITUTE(SUBSTITUTE(SUBSTITUTE(SUBSTITUTE(H34,"游泳池","Kolam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4" s="32" t="str">
        <f aca="false">IF(OR(I34&lt;&gt;"",J34&lt;&gt;"",K34&lt;&gt;""),"🔒 "&amp;IF(I34&lt;&gt;"",I34,"")&amp;IF(AND(I34&lt;&gt;"",J34&lt;&gt;"")," · ","")&amp;IF(J34&lt;&gt;"",J34,"")&amp;IF(AND(OR(I34&lt;&gt;"",J34&lt;&gt;""),K34&lt;&gt;"")," · ","")&amp;IF(K34&lt;&gt;"",K34,""),"")</f>
        <v/>
      </c>
      <c r="V34" s="31" t="str">
        <f aca="false">IF(L34&lt;&gt;"","💰 起价 RM "&amp;TEXT(L34,"#,##0"),"")</f>
        <v/>
      </c>
      <c r="W34" s="31" t="str">
        <f aca="false">IF(L34&lt;&gt;"","💰 From RM "&amp;TEXT(L34,"#,##0"),"")</f>
        <v/>
      </c>
      <c r="X34" s="31" t="str">
        <f aca="false">IF(L34&lt;&gt;"","💰 Dari RM "&amp;TEXT(L34,"#,##0"),"")</f>
        <v/>
      </c>
      <c r="Y34" s="33" t="str">
        <f aca="false">IF(D34&lt;&gt;"","您好！我想咨询新楼盘：
🏠 "&amp;D34&amp;"
"&amp;IF(E34&lt;&gt;"","🛏 "&amp;E34&amp;"房"&amp;IF(F34&lt;&gt;""," "&amp;F34&amp;"卫","")&amp;"
","")&amp;IF(G34&lt;&gt;"","📐 "&amp;G34&amp;" sqft
","")&amp;IF(H34&lt;&gt;"","🏊 "&amp;H34&amp;"
","")&amp;IF(U34&lt;&gt;"",U34&amp;"
","")&amp;IF(L34&lt;&gt;"","💰 起价 RM "&amp;TEXT(L34,"#,##0")&amp;"
","")&amp;"
请问还有空档吗？谢谢！","")</f>
        <v/>
      </c>
      <c r="Z34" s="33" t="str">
        <f aca="false">IF(D34&lt;&gt;"","Hi! I'd like to make a new launch enquiry:
🏠 "&amp;P34&amp;"
"&amp;IF(E34&lt;&gt;"","🛏 "&amp;E34&amp;"BR"&amp;IF(F34&lt;&gt;""," "&amp;F34&amp;"BA","")&amp;"
","")&amp;IF(G34&lt;&gt;"","📐 "&amp;G34&amp;" sqft
","")&amp;IF(H34&lt;&gt;"","🏊 "&amp;SUBSTITUTE(SUBSTITUTE(SUBSTITUTE(SUBSTITUTE(SUBSTITUTE(SUBSTITUTE(SUBSTITUTE(SUBSTITUTE(SUBSTITUTE(SUBSTITUTE(H34,"游泳池","Swimming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Control"),""),"")&lt;&gt;"",IF(OR(I34&lt;&gt;"",J34&lt;&gt;"",K34&lt;&gt;""),"🔒 "&amp;IF(I34&lt;&gt;"",SUBSTITUTE(SUBSTITUTE(SUBSTITUTE(SUBSTITUTE(SUBSTITUTE(SUBSTITUTE(SUBSTITUTE(SUBSTITUTE(SUBSTITUTE(SUBSTITUTE(SUBSTITUTE(SUBSTITUTE(I34,"24小时保安","24hr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Control"),"")&amp;IF(AND(I34&lt;&gt;"",OR(J34&lt;&gt;"",K34&lt;&gt;""))," · ","")&amp;IF(J34&lt;&gt;"",SUBSTITUTE(SUBSTITUTE(SUBSTITUTE(SUBSTITUTE(SUBSTITUTE(SUBSTITUTE(SUBSTITUTE(SUBSTITUTE(SUBSTITUTE(SUBSTITUTE(SUBSTITUTE(SUBSTITUTE(J34,"24小时保安","24hr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Control"),"")&amp;IF(AND(J34&lt;&gt;"",K34&lt;&gt;"")," · ","")&amp;IF(K34&lt;&gt;"",SUBSTITUTE(SUBSTITUTE(SUBSTITUTE(SUBSTITUTE(SUBSTITUTE(SUBSTITUTE(SUBSTITUTE(SUBSTITUTE(SUBSTITUTE(SUBSTITUTE(SUBSTITUTE(SUBSTITUTE(K34,"24小时保安","24hr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","")&amp;IF(L34&lt;&gt;"","💰 From RM "&amp;TEXT(L34,"#,##0")&amp;"
","")&amp;"
Is this still available? Thank you!","")</f>
        <v/>
      </c>
      <c r="AA34" s="31"/>
      <c r="AB34" s="33" t="str">
        <f aca="false">IF(D34&lt;&gt;"","Helo! Saya ingin membuat pertanyaan projek baru:
🏠 "&amp;Q34&amp;"
"&amp;IF(E34&lt;&gt;"","🛏 "&amp;E34&amp;"Bilik"&amp;IF(F34&lt;&gt;""," "&amp;F34&amp;"Bilik Air","")&amp;"
","")&amp;IF(G34&lt;&gt;"","📐 "&amp;G34&amp;" sqft
","")&amp;IF(H34&lt;&gt;"","🏊 "&amp;SUBSTITUTE(SUBSTITUTE(SUBSTITUTE(SUBSTITUTE(SUBSTITUTE(SUBSTITUTE(SUBSTITUTE(SUBSTITUTE(SUBSTITUTE(SUBSTITUTE(H34,"游泳池","Kolam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Kawalan"),""),"")&lt;&gt;"",IF(OR(I34&lt;&gt;"",J34&lt;&gt;"",K34&lt;&gt;""),"🔒 "&amp;IF(I34&lt;&gt;"",SUBSTITUTE(SUBSTITUTE(SUBSTITUTE(SUBSTITUTE(SUBSTITUTE(SUBSTITUTE(SUBSTITUTE(SUBSTITUTE(SUBSTITUTE(SUBSTITUTE(SUBSTITUTE(SUBSTITUTE(I34,"24小时保安","Pengawal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Kawalan"),"")&amp;IF(AND(I34&lt;&gt;"",OR(J34&lt;&gt;"",K34&lt;&gt;""))," · ","")&amp;IF(J34&lt;&gt;"",SUBSTITUTE(SUBSTITUTE(SUBSTITUTE(SUBSTITUTE(SUBSTITUTE(SUBSTITUTE(SUBSTITUTE(SUBSTITUTE(SUBSTITUTE(SUBSTITUTE(SUBSTITUTE(SUBSTITUTE(J34,"24小时保安","Pengawal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Kawalan"),"")&amp;IF(AND(J34&lt;&gt;"",K34&lt;&gt;"")," · ","")&amp;IF(K34&lt;&gt;"",SUBSTITUTE(SUBSTITUTE(SUBSTITUTE(SUBSTITUTE(SUBSTITUTE(SUBSTITUTE(SUBSTITUTE(SUBSTITUTE(SUBSTITUTE(SUBSTITUTE(SUBSTITUTE(SUBSTITUTE(K34,"24小时保安","Pengawal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","")&amp;IF(L34&lt;&gt;"","💰 Dari RM "&amp;TEXT(L34,"#,##0")&amp;"
","")&amp;"
Adakah masih tersedia? Terima kasih!","")</f>
        <v/>
      </c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9"/>
      <c r="J35" s="29"/>
      <c r="K35" s="29"/>
      <c r="L35" s="28"/>
      <c r="M35" s="30"/>
      <c r="N35" s="31" t="str">
        <f aca="false">IFERROR(ifs(B35="🏢 Condo 公寓","fa-building",B35="🏠 Apartment 单位","fa-home",B35="🌿 即租即住","fa-home",B35="🌿 近国际学校","fa-school",B35="📌 商业旺铺","fa-store",B35="🌟 海景豪宅","fa-water-ladder",B35="📈 投资优选","fa-chart-line",B35="🏞️ 花园住宅","fa-tree",B35="🌟 2026全新地标","fa-drafting-compass",B35="📈 海外投资优选","fa-globe",B35="🌆 核心地段","fa-city",B35="🔥 限时优惠","fa-fire",B35="✅ 永久产权","fa-certificate",B35="🏅 高回报","fa-medal",B35="🏖️ 度假胜地","fa-umbrella-beach",B35="🏫 学区优选","fa-graduation-cap",B35="🛣️ 交通便利","fa-road",B35="🔑 即买即住","fa-key"),"fa-home")</f>
        <v>fa-home</v>
      </c>
      <c r="O35" s="31" t="str">
        <f aca="false">IF(D35&lt;&gt;"",D35,"")</f>
        <v/>
      </c>
      <c r="P35" s="31" t="str">
        <f aca="false">IF(D35&lt;&gt;"",SUBSTITUTE(SUBSTITUTE(SUBSTITUTE(SUBSTITUTE(SUBSTITUTE(SUBSTITUTE(SUBSTITUTE(SUBSTITUTE(SUBSTITUTE(SUBSTITUTE(D35,"亚庇","Kota Kinabalu"),"公寓","Condo"),"排屋","Terrace"),"别墅","Villa"),"店铺","Shop"),"新山","Johor Bahru"),"市中心","City Centre"),"高级","Premium"),"单位","Unit"),"住宅","Residence"),"")</f>
        <v/>
      </c>
      <c r="Q35" s="31" t="str">
        <f aca="false">IF(D35&lt;&gt;"",SUBSTITUTE(SUBSTITUTE(SUBSTITUTE(SUBSTITUTE(SUBSTITUTE(SUBSTITUTE(SUBSTITUTE(SUBSTITUTE(SUBSTITUTE(SUBSTITUTE(D35,"亚庇","Kota Kinabalu"),"公寓","Kondominium"),"排屋","Rumah Teres"),"别墅","Vila"),"店铺","Kedai"),"新山","Johor Bahru"),"市中心","Pusat Bandar"),"高级","Premium"),"单位","Unit"),"住宅","Kediaman"),"")</f>
        <v/>
      </c>
      <c r="R35" s="31" t="str">
        <f aca="false">IF(D35&lt;&gt;"","📍 "&amp;IF(E35&lt;&gt;"",E35&amp;"房","")&amp;IF(F35&lt;&gt;"",F35&amp;"卫 ","")&amp;IF(G35&lt;&gt;"",G35&amp;" sqft","")&amp;IF(AND(OR(E35&lt;&gt;"",G35&lt;&gt;""),H35&lt;&gt;"")," · ","")&amp;IF(H35&lt;&gt;"",H35,""),"")</f>
        <v/>
      </c>
      <c r="S35" s="31" t="str">
        <f aca="false">IF(D35&lt;&gt;"","📍 "&amp;IF(E35&lt;&gt;"",E35&amp;"BR ","")&amp;IF(F35&lt;&gt;"",F35&amp;"BA ","")&amp;IF(G35&lt;&gt;"",G35&amp;" sqft","")&amp;IF(AND(OR(E35&lt;&gt;"",G35&lt;&gt;""),H35&lt;&gt;"")," · ","")&amp;IF(H35&lt;&gt;"",SUBSTITUTE(SUBSTITUTE(SUBSTITUTE(SUBSTITUTE(SUBSTITUTE(SUBSTITUTE(SUBSTITUTE(SUBSTITUTE(SUBSTITUTE(SUBSTITUTE(H35,"游泳池","Swimming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5" s="31" t="str">
        <f aca="false">IF(D35&lt;&gt;"","📍 "&amp;IF(E35&lt;&gt;"",E35&amp;"Bilik ","")&amp;IF(F35&lt;&gt;"",F35&amp;"Bilik Air ","")&amp;IF(G35&lt;&gt;"",G35&amp;" sqft","")&amp;IF(AND(OR(E35&lt;&gt;"",G35&lt;&gt;""),H35&lt;&gt;"")," · ","")&amp;IF(H35&lt;&gt;"",SUBSTITUTE(SUBSTITUTE(SUBSTITUTE(SUBSTITUTE(SUBSTITUTE(SUBSTITUTE(SUBSTITUTE(SUBSTITUTE(SUBSTITUTE(SUBSTITUTE(H35,"游泳池","Kolam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5" s="32" t="str">
        <f aca="false">IF(OR(I35&lt;&gt;"",J35&lt;&gt;"",K35&lt;&gt;""),"🔒 "&amp;IF(I35&lt;&gt;"",I35,"")&amp;IF(AND(I35&lt;&gt;"",J35&lt;&gt;"")," · ","")&amp;IF(J35&lt;&gt;"",J35,"")&amp;IF(AND(OR(I35&lt;&gt;"",J35&lt;&gt;""),K35&lt;&gt;"")," · ","")&amp;IF(K35&lt;&gt;"",K35,""),"")</f>
        <v/>
      </c>
      <c r="V35" s="31" t="str">
        <f aca="false">IF(L35&lt;&gt;"","💰 起价 RM "&amp;TEXT(L35,"#,##0"),"")</f>
        <v/>
      </c>
      <c r="W35" s="31" t="str">
        <f aca="false">IF(L35&lt;&gt;"","💰 From RM "&amp;TEXT(L35,"#,##0"),"")</f>
        <v/>
      </c>
      <c r="X35" s="31" t="str">
        <f aca="false">IF(L35&lt;&gt;"","💰 Dari RM "&amp;TEXT(L35,"#,##0"),"")</f>
        <v/>
      </c>
      <c r="Y35" s="33" t="str">
        <f aca="false">IF(D35&lt;&gt;"","您好！我想咨询新楼盘：
🏠 "&amp;D35&amp;"
"&amp;IF(E35&lt;&gt;"","🛏 "&amp;E35&amp;"房"&amp;IF(F35&lt;&gt;""," "&amp;F35&amp;"卫","")&amp;"
","")&amp;IF(G35&lt;&gt;"","📐 "&amp;G35&amp;" sqft
","")&amp;IF(H35&lt;&gt;"","🏊 "&amp;H35&amp;"
","")&amp;IF(U35&lt;&gt;"",U35&amp;"
","")&amp;IF(L35&lt;&gt;"","💰 起价 RM "&amp;TEXT(L35,"#,##0")&amp;"
","")&amp;"
请问还有空档吗？谢谢！","")</f>
        <v/>
      </c>
      <c r="Z35" s="33" t="str">
        <f aca="false">IF(D35&lt;&gt;"","Hi! I'd like to make a new launch enquiry:
🏠 "&amp;P35&amp;"
"&amp;IF(E35&lt;&gt;"","🛏 "&amp;E35&amp;"BR"&amp;IF(F35&lt;&gt;""," "&amp;F35&amp;"BA","")&amp;"
","")&amp;IF(G35&lt;&gt;"","📐 "&amp;G35&amp;" sqft
","")&amp;IF(H35&lt;&gt;"","🏊 "&amp;SUBSTITUTE(SUBSTITUTE(SUBSTITUTE(SUBSTITUTE(SUBSTITUTE(SUBSTITUTE(SUBSTITUTE(SUBSTITUTE(SUBSTITUTE(SUBSTITUTE(H35,"游泳池","Swimming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Control"),""),"")&lt;&gt;"",IF(OR(I35&lt;&gt;"",J35&lt;&gt;"",K35&lt;&gt;""),"🔒 "&amp;IF(I35&lt;&gt;"",SUBSTITUTE(SUBSTITUTE(SUBSTITUTE(SUBSTITUTE(SUBSTITUTE(SUBSTITUTE(SUBSTITUTE(SUBSTITUTE(SUBSTITUTE(SUBSTITUTE(SUBSTITUTE(SUBSTITUTE(I35,"24小时保安","24hr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Control"),"")&amp;IF(AND(I35&lt;&gt;"",OR(J35&lt;&gt;"",K35&lt;&gt;""))," · ","")&amp;IF(J35&lt;&gt;"",SUBSTITUTE(SUBSTITUTE(SUBSTITUTE(SUBSTITUTE(SUBSTITUTE(SUBSTITUTE(SUBSTITUTE(SUBSTITUTE(SUBSTITUTE(SUBSTITUTE(SUBSTITUTE(SUBSTITUTE(J35,"24小时保安","24hr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Control"),"")&amp;IF(AND(J35&lt;&gt;"",K35&lt;&gt;"")," · ","")&amp;IF(K35&lt;&gt;"",SUBSTITUTE(SUBSTITUTE(SUBSTITUTE(SUBSTITUTE(SUBSTITUTE(SUBSTITUTE(SUBSTITUTE(SUBSTITUTE(SUBSTITUTE(SUBSTITUTE(SUBSTITUTE(SUBSTITUTE(K35,"24小时保安","24hr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","")&amp;IF(L35&lt;&gt;"","💰 From RM "&amp;TEXT(L35,"#,##0")&amp;"
","")&amp;"
Is this still available? Thank you!","")</f>
        <v/>
      </c>
      <c r="AA35" s="31"/>
      <c r="AB35" s="33" t="str">
        <f aca="false">IF(D35&lt;&gt;"","Helo! Saya ingin membuat pertanyaan projek baru:
🏠 "&amp;Q35&amp;"
"&amp;IF(E35&lt;&gt;"","🛏 "&amp;E35&amp;"Bilik"&amp;IF(F35&lt;&gt;""," "&amp;F35&amp;"Bilik Air","")&amp;"
","")&amp;IF(G35&lt;&gt;"","📐 "&amp;G35&amp;" sqft
","")&amp;IF(H35&lt;&gt;"","🏊 "&amp;SUBSTITUTE(SUBSTITUTE(SUBSTITUTE(SUBSTITUTE(SUBSTITUTE(SUBSTITUTE(SUBSTITUTE(SUBSTITUTE(SUBSTITUTE(SUBSTITUTE(H35,"游泳池","Kolam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Kawalan"),""),"")&lt;&gt;"",IF(OR(I35&lt;&gt;"",J35&lt;&gt;"",K35&lt;&gt;""),"🔒 "&amp;IF(I35&lt;&gt;"",SUBSTITUTE(SUBSTITUTE(SUBSTITUTE(SUBSTITUTE(SUBSTITUTE(SUBSTITUTE(SUBSTITUTE(SUBSTITUTE(SUBSTITUTE(SUBSTITUTE(SUBSTITUTE(SUBSTITUTE(I35,"24小时保安","Pengawal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Kawalan"),"")&amp;IF(AND(I35&lt;&gt;"",OR(J35&lt;&gt;"",K35&lt;&gt;""))," · ","")&amp;IF(J35&lt;&gt;"",SUBSTITUTE(SUBSTITUTE(SUBSTITUTE(SUBSTITUTE(SUBSTITUTE(SUBSTITUTE(SUBSTITUTE(SUBSTITUTE(SUBSTITUTE(SUBSTITUTE(SUBSTITUTE(SUBSTITUTE(J35,"24小时保安","Pengawal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Kawalan"),"")&amp;IF(AND(J35&lt;&gt;"",K35&lt;&gt;"")," · ","")&amp;IF(K35&lt;&gt;"",SUBSTITUTE(SUBSTITUTE(SUBSTITUTE(SUBSTITUTE(SUBSTITUTE(SUBSTITUTE(SUBSTITUTE(SUBSTITUTE(SUBSTITUTE(SUBSTITUTE(SUBSTITUTE(SUBSTITUTE(K35,"24小时保安","Pengawal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","")&amp;IF(L35&lt;&gt;"","💰 Dari RM "&amp;TEXT(L35,"#,##0")&amp;"
","")&amp;"
Adakah masih tersedia? Terima kasih!","")</f>
        <v/>
      </c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9"/>
      <c r="J36" s="29"/>
      <c r="K36" s="29"/>
      <c r="L36" s="28"/>
      <c r="M36" s="30"/>
      <c r="N36" s="31" t="str">
        <f aca="false">IFERROR(ifs(B36="🏢 Condo 公寓","fa-building",B36="🏠 Apartment 单位","fa-home",B36="🌿 即租即住","fa-home",B36="🌿 近国际学校","fa-school",B36="📌 商业旺铺","fa-store",B36="🌟 海景豪宅","fa-water-ladder",B36="📈 投资优选","fa-chart-line",B36="🏞️ 花园住宅","fa-tree",B36="🌟 2026全新地标","fa-drafting-compass",B36="📈 海外投资优选","fa-globe",B36="🌆 核心地段","fa-city",B36="🔥 限时优惠","fa-fire",B36="✅ 永久产权","fa-certificate",B36="🏅 高回报","fa-medal",B36="🏖️ 度假胜地","fa-umbrella-beach",B36="🏫 学区优选","fa-graduation-cap",B36="🛣️ 交通便利","fa-road",B36="🔑 即买即住","fa-key"),"fa-home")</f>
        <v>fa-home</v>
      </c>
      <c r="O36" s="31" t="str">
        <f aca="false">IF(D36&lt;&gt;"",D36,"")</f>
        <v/>
      </c>
      <c r="P36" s="31" t="str">
        <f aca="false">IF(D36&lt;&gt;"",SUBSTITUTE(SUBSTITUTE(SUBSTITUTE(SUBSTITUTE(SUBSTITUTE(SUBSTITUTE(SUBSTITUTE(SUBSTITUTE(SUBSTITUTE(SUBSTITUTE(D36,"亚庇","Kota Kinabalu"),"公寓","Condo"),"排屋","Terrace"),"别墅","Villa"),"店铺","Shop"),"新山","Johor Bahru"),"市中心","City Centre"),"高级","Premium"),"单位","Unit"),"住宅","Residence"),"")</f>
        <v/>
      </c>
      <c r="Q36" s="31" t="str">
        <f aca="false">IF(D36&lt;&gt;"",SUBSTITUTE(SUBSTITUTE(SUBSTITUTE(SUBSTITUTE(SUBSTITUTE(SUBSTITUTE(SUBSTITUTE(SUBSTITUTE(SUBSTITUTE(SUBSTITUTE(D36,"亚庇","Kota Kinabalu"),"公寓","Kondominium"),"排屋","Rumah Teres"),"别墅","Vila"),"店铺","Kedai"),"新山","Johor Bahru"),"市中心","Pusat Bandar"),"高级","Premium"),"单位","Unit"),"住宅","Kediaman"),"")</f>
        <v/>
      </c>
      <c r="R36" s="31" t="str">
        <f aca="false">IF(D36&lt;&gt;"","📍 "&amp;IF(E36&lt;&gt;"",E36&amp;"房","")&amp;IF(F36&lt;&gt;"",F36&amp;"卫 ","")&amp;IF(G36&lt;&gt;"",G36&amp;" sqft","")&amp;IF(AND(OR(E36&lt;&gt;"",G36&lt;&gt;""),H36&lt;&gt;"")," · ","")&amp;IF(H36&lt;&gt;"",H36,""),"")</f>
        <v/>
      </c>
      <c r="S36" s="31" t="str">
        <f aca="false">IF(D36&lt;&gt;"","📍 "&amp;IF(E36&lt;&gt;"",E36&amp;"BR ","")&amp;IF(F36&lt;&gt;"",F36&amp;"BA ","")&amp;IF(G36&lt;&gt;"",G36&amp;" sqft","")&amp;IF(AND(OR(E36&lt;&gt;"",G36&lt;&gt;""),H36&lt;&gt;"")," · ","")&amp;IF(H36&lt;&gt;"",SUBSTITUTE(SUBSTITUTE(SUBSTITUTE(SUBSTITUTE(SUBSTITUTE(SUBSTITUTE(SUBSTITUTE(SUBSTITUTE(SUBSTITUTE(SUBSTITUTE(H36,"游泳池","Swimming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6" s="31" t="str">
        <f aca="false">IF(D36&lt;&gt;"","📍 "&amp;IF(E36&lt;&gt;"",E36&amp;"Bilik ","")&amp;IF(F36&lt;&gt;"",F36&amp;"Bilik Air ","")&amp;IF(G36&lt;&gt;"",G36&amp;" sqft","")&amp;IF(AND(OR(E36&lt;&gt;"",G36&lt;&gt;""),H36&lt;&gt;"")," · ","")&amp;IF(H36&lt;&gt;"",SUBSTITUTE(SUBSTITUTE(SUBSTITUTE(SUBSTITUTE(SUBSTITUTE(SUBSTITUTE(SUBSTITUTE(SUBSTITUTE(SUBSTITUTE(SUBSTITUTE(H36,"游泳池","Kolam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6" s="32" t="str">
        <f aca="false">IF(OR(I36&lt;&gt;"",J36&lt;&gt;"",K36&lt;&gt;""),"🔒 "&amp;IF(I36&lt;&gt;"",I36,"")&amp;IF(AND(I36&lt;&gt;"",J36&lt;&gt;"")," · ","")&amp;IF(J36&lt;&gt;"",J36,"")&amp;IF(AND(OR(I36&lt;&gt;"",J36&lt;&gt;""),K36&lt;&gt;"")," · ","")&amp;IF(K36&lt;&gt;"",K36,""),"")</f>
        <v/>
      </c>
      <c r="V36" s="31" t="str">
        <f aca="false">IF(L36&lt;&gt;"","💰 起价 RM "&amp;TEXT(L36,"#,##0"),"")</f>
        <v/>
      </c>
      <c r="W36" s="31" t="str">
        <f aca="false">IF(L36&lt;&gt;"","💰 From RM "&amp;TEXT(L36,"#,##0"),"")</f>
        <v/>
      </c>
      <c r="X36" s="31" t="str">
        <f aca="false">IF(L36&lt;&gt;"","💰 Dari RM "&amp;TEXT(L36,"#,##0"),"")</f>
        <v/>
      </c>
      <c r="Y36" s="33" t="str">
        <f aca="false">IF(D36&lt;&gt;"","您好！我想咨询新楼盘：
🏠 "&amp;D36&amp;"
"&amp;IF(E36&lt;&gt;"","🛏 "&amp;E36&amp;"房"&amp;IF(F36&lt;&gt;""," "&amp;F36&amp;"卫","")&amp;"
","")&amp;IF(G36&lt;&gt;"","📐 "&amp;G36&amp;" sqft
","")&amp;IF(H36&lt;&gt;"","🏊 "&amp;H36&amp;"
","")&amp;IF(U36&lt;&gt;"",U36&amp;"
","")&amp;IF(L36&lt;&gt;"","💰 起价 RM "&amp;TEXT(L36,"#,##0")&amp;"
","")&amp;"
请问还有空档吗？谢谢！","")</f>
        <v/>
      </c>
      <c r="Z36" s="33" t="str">
        <f aca="false">IF(D36&lt;&gt;"","Hi! I'd like to make a new launch enquiry:
🏠 "&amp;P36&amp;"
"&amp;IF(E36&lt;&gt;"","🛏 "&amp;E36&amp;"BR"&amp;IF(F36&lt;&gt;""," "&amp;F36&amp;"BA","")&amp;"
","")&amp;IF(G36&lt;&gt;"","📐 "&amp;G36&amp;" sqft
","")&amp;IF(H36&lt;&gt;"","🏊 "&amp;SUBSTITUTE(SUBSTITUTE(SUBSTITUTE(SUBSTITUTE(SUBSTITUTE(SUBSTITUTE(SUBSTITUTE(SUBSTITUTE(SUBSTITUTE(SUBSTITUTE(H36,"游泳池","Swimming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Control"),""),"")&lt;&gt;"",IF(OR(I36&lt;&gt;"",J36&lt;&gt;"",K36&lt;&gt;""),"🔒 "&amp;IF(I36&lt;&gt;"",SUBSTITUTE(SUBSTITUTE(SUBSTITUTE(SUBSTITUTE(SUBSTITUTE(SUBSTITUTE(SUBSTITUTE(SUBSTITUTE(SUBSTITUTE(SUBSTITUTE(SUBSTITUTE(SUBSTITUTE(I36,"24小时保安","24hr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Control"),"")&amp;IF(AND(I36&lt;&gt;"",OR(J36&lt;&gt;"",K36&lt;&gt;""))," · ","")&amp;IF(J36&lt;&gt;"",SUBSTITUTE(SUBSTITUTE(SUBSTITUTE(SUBSTITUTE(SUBSTITUTE(SUBSTITUTE(SUBSTITUTE(SUBSTITUTE(SUBSTITUTE(SUBSTITUTE(SUBSTITUTE(SUBSTITUTE(J36,"24小时保安","24hr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Control"),"")&amp;IF(AND(J36&lt;&gt;"",K36&lt;&gt;"")," · ","")&amp;IF(K36&lt;&gt;"",SUBSTITUTE(SUBSTITUTE(SUBSTITUTE(SUBSTITUTE(SUBSTITUTE(SUBSTITUTE(SUBSTITUTE(SUBSTITUTE(SUBSTITUTE(SUBSTITUTE(SUBSTITUTE(SUBSTITUTE(K36,"24小时保安","24hr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","")&amp;IF(L36&lt;&gt;"","💰 From RM "&amp;TEXT(L36,"#,##0")&amp;"
","")&amp;"
Is this still available? Thank you!","")</f>
        <v/>
      </c>
      <c r="AA36" s="31"/>
      <c r="AB36" s="33" t="str">
        <f aca="false">IF(D36&lt;&gt;"","Helo! Saya ingin membuat pertanyaan projek baru:
🏠 "&amp;Q36&amp;"
"&amp;IF(E36&lt;&gt;"","🛏 "&amp;E36&amp;"Bilik"&amp;IF(F36&lt;&gt;""," "&amp;F36&amp;"Bilik Air","")&amp;"
","")&amp;IF(G36&lt;&gt;"","📐 "&amp;G36&amp;" sqft
","")&amp;IF(H36&lt;&gt;"","🏊 "&amp;SUBSTITUTE(SUBSTITUTE(SUBSTITUTE(SUBSTITUTE(SUBSTITUTE(SUBSTITUTE(SUBSTITUTE(SUBSTITUTE(SUBSTITUTE(SUBSTITUTE(H36,"游泳池","Kolam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Kawalan"),""),"")&lt;&gt;"",IF(OR(I36&lt;&gt;"",J36&lt;&gt;"",K36&lt;&gt;""),"🔒 "&amp;IF(I36&lt;&gt;"",SUBSTITUTE(SUBSTITUTE(SUBSTITUTE(SUBSTITUTE(SUBSTITUTE(SUBSTITUTE(SUBSTITUTE(SUBSTITUTE(SUBSTITUTE(SUBSTITUTE(SUBSTITUTE(SUBSTITUTE(I36,"24小时保安","Pengawal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Kawalan"),"")&amp;IF(AND(I36&lt;&gt;"",OR(J36&lt;&gt;"",K36&lt;&gt;""))," · ","")&amp;IF(J36&lt;&gt;"",SUBSTITUTE(SUBSTITUTE(SUBSTITUTE(SUBSTITUTE(SUBSTITUTE(SUBSTITUTE(SUBSTITUTE(SUBSTITUTE(SUBSTITUTE(SUBSTITUTE(SUBSTITUTE(SUBSTITUTE(J36,"24小时保安","Pengawal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Kawalan"),"")&amp;IF(AND(J36&lt;&gt;"",K36&lt;&gt;"")," · ","")&amp;IF(K36&lt;&gt;"",SUBSTITUTE(SUBSTITUTE(SUBSTITUTE(SUBSTITUTE(SUBSTITUTE(SUBSTITUTE(SUBSTITUTE(SUBSTITUTE(SUBSTITUTE(SUBSTITUTE(SUBSTITUTE(SUBSTITUTE(K36,"24小时保安","Pengawal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","")&amp;IF(L36&lt;&gt;"","💰 Dari RM "&amp;TEXT(L36,"#,##0")&amp;"
","")&amp;"
Adakah masih tersedia? Terima kasih!","")</f>
        <v/>
      </c>
    </row>
    <row r="37" customFormat="false" ht="1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9"/>
      <c r="J37" s="29"/>
      <c r="K37" s="29"/>
      <c r="L37" s="28"/>
      <c r="M37" s="30"/>
      <c r="N37" s="31" t="str">
        <f aca="false">IFERROR(ifs(B37="🏢 Condo 公寓","fa-building",B37="🏠 Apartment 单位","fa-home",B37="🌿 即租即住","fa-home",B37="🌿 近国际学校","fa-school",B37="📌 商业旺铺","fa-store",B37="🌟 海景豪宅","fa-water-ladder",B37="📈 投资优选","fa-chart-line",B37="🏞️ 花园住宅","fa-tree",B37="🌟 2026全新地标","fa-drafting-compass",B37="📈 海外投资优选","fa-globe",B37="🌆 核心地段","fa-city",B37="🔥 限时优惠","fa-fire",B37="✅ 永久产权","fa-certificate",B37="🏅 高回报","fa-medal",B37="🏖️ 度假胜地","fa-umbrella-beach",B37="🏫 学区优选","fa-graduation-cap",B37="🛣️ 交通便利","fa-road",B37="🔑 即买即住","fa-key"),"fa-home")</f>
        <v>fa-home</v>
      </c>
      <c r="O37" s="31" t="str">
        <f aca="false">IF(D37&lt;&gt;"",D37,"")</f>
        <v/>
      </c>
      <c r="P37" s="31" t="str">
        <f aca="false">IF(D37&lt;&gt;"",SUBSTITUTE(SUBSTITUTE(SUBSTITUTE(SUBSTITUTE(SUBSTITUTE(SUBSTITUTE(SUBSTITUTE(SUBSTITUTE(SUBSTITUTE(SUBSTITUTE(D37,"亚庇","Kota Kinabalu"),"公寓","Condo"),"排屋","Terrace"),"别墅","Villa"),"店铺","Shop"),"新山","Johor Bahru"),"市中心","City Centre"),"高级","Premium"),"单位","Unit"),"住宅","Residence"),"")</f>
        <v/>
      </c>
      <c r="Q37" s="31" t="str">
        <f aca="false">IF(D37&lt;&gt;"",SUBSTITUTE(SUBSTITUTE(SUBSTITUTE(SUBSTITUTE(SUBSTITUTE(SUBSTITUTE(SUBSTITUTE(SUBSTITUTE(SUBSTITUTE(SUBSTITUTE(D37,"亚庇","Kota Kinabalu"),"公寓","Kondominium"),"排屋","Rumah Teres"),"别墅","Vila"),"店铺","Kedai"),"新山","Johor Bahru"),"市中心","Pusat Bandar"),"高级","Premium"),"单位","Unit"),"住宅","Kediaman"),"")</f>
        <v/>
      </c>
      <c r="R37" s="31" t="str">
        <f aca="false">IF(D37&lt;&gt;"","📍 "&amp;IF(E37&lt;&gt;"",E37&amp;"房","")&amp;IF(F37&lt;&gt;"",F37&amp;"卫 ","")&amp;IF(G37&lt;&gt;"",G37&amp;" sqft","")&amp;IF(AND(OR(E37&lt;&gt;"",G37&lt;&gt;""),H37&lt;&gt;"")," · ","")&amp;IF(H37&lt;&gt;"",H37,""),"")</f>
        <v/>
      </c>
      <c r="S37" s="31" t="str">
        <f aca="false">IF(D37&lt;&gt;"","📍 "&amp;IF(E37&lt;&gt;"",E37&amp;"BR ","")&amp;IF(F37&lt;&gt;"",F37&amp;"BA ","")&amp;IF(G37&lt;&gt;"",G37&amp;" sqft","")&amp;IF(AND(OR(E37&lt;&gt;"",G37&lt;&gt;""),H37&lt;&gt;"")," · ","")&amp;IF(H37&lt;&gt;"",SUBSTITUTE(SUBSTITUTE(SUBSTITUTE(SUBSTITUTE(SUBSTITUTE(SUBSTITUTE(SUBSTITUTE(SUBSTITUTE(SUBSTITUTE(SUBSTITUTE(H37,"游泳池","Swimming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7" s="31" t="str">
        <f aca="false">IF(D37&lt;&gt;"","📍 "&amp;IF(E37&lt;&gt;"",E37&amp;"Bilik ","")&amp;IF(F37&lt;&gt;"",F37&amp;"Bilik Air ","")&amp;IF(G37&lt;&gt;"",G37&amp;" sqft","")&amp;IF(AND(OR(E37&lt;&gt;"",G37&lt;&gt;""),H37&lt;&gt;"")," · ","")&amp;IF(H37&lt;&gt;"",SUBSTITUTE(SUBSTITUTE(SUBSTITUTE(SUBSTITUTE(SUBSTITUTE(SUBSTITUTE(SUBSTITUTE(SUBSTITUTE(SUBSTITUTE(SUBSTITUTE(H37,"游泳池","Kolam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7" s="32" t="str">
        <f aca="false">IF(OR(I37&lt;&gt;"",J37&lt;&gt;"",K37&lt;&gt;""),"🔒 "&amp;IF(I37&lt;&gt;"",I37,"")&amp;IF(AND(I37&lt;&gt;"",J37&lt;&gt;"")," · ","")&amp;IF(J37&lt;&gt;"",J37,"")&amp;IF(AND(OR(I37&lt;&gt;"",J37&lt;&gt;""),K37&lt;&gt;"")," · ","")&amp;IF(K37&lt;&gt;"",K37,""),"")</f>
        <v/>
      </c>
      <c r="V37" s="31" t="str">
        <f aca="false">IF(L37&lt;&gt;"","💰 起价 RM "&amp;TEXT(L37,"#,##0"),"")</f>
        <v/>
      </c>
      <c r="W37" s="31" t="str">
        <f aca="false">IF(L37&lt;&gt;"","💰 From RM "&amp;TEXT(L37,"#,##0"),"")</f>
        <v/>
      </c>
      <c r="X37" s="31" t="str">
        <f aca="false">IF(L37&lt;&gt;"","💰 Dari RM "&amp;TEXT(L37,"#,##0"),"")</f>
        <v/>
      </c>
      <c r="Y37" s="33" t="str">
        <f aca="false">IF(D37&lt;&gt;"","您好！我想咨询新楼盘：
🏠 "&amp;D37&amp;"
"&amp;IF(E37&lt;&gt;"","🛏 "&amp;E37&amp;"房"&amp;IF(F37&lt;&gt;""," "&amp;F37&amp;"卫","")&amp;"
","")&amp;IF(G37&lt;&gt;"","📐 "&amp;G37&amp;" sqft
","")&amp;IF(H37&lt;&gt;"","🏊 "&amp;H37&amp;"
","")&amp;IF(U37&lt;&gt;"",U37&amp;"
","")&amp;IF(L37&lt;&gt;"","💰 起价 RM "&amp;TEXT(L37,"#,##0")&amp;"
","")&amp;"
请问还有空档吗？谢谢！","")</f>
        <v/>
      </c>
      <c r="Z37" s="33" t="str">
        <f aca="false">IF(D37&lt;&gt;"","Hi! I'd like to make a new launch enquiry:
🏠 "&amp;P37&amp;"
"&amp;IF(E37&lt;&gt;"","🛏 "&amp;E37&amp;"BR"&amp;IF(F37&lt;&gt;""," "&amp;F37&amp;"BA","")&amp;"
","")&amp;IF(G37&lt;&gt;"","📐 "&amp;G37&amp;" sqft
","")&amp;IF(H37&lt;&gt;"","🏊 "&amp;SUBSTITUTE(SUBSTITUTE(SUBSTITUTE(SUBSTITUTE(SUBSTITUTE(SUBSTITUTE(SUBSTITUTE(SUBSTITUTE(SUBSTITUTE(SUBSTITUTE(H37,"游泳池","Swimming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Control"),""),"")&lt;&gt;"",IF(OR(I37&lt;&gt;"",J37&lt;&gt;"",K37&lt;&gt;""),"🔒 "&amp;IF(I37&lt;&gt;"",SUBSTITUTE(SUBSTITUTE(SUBSTITUTE(SUBSTITUTE(SUBSTITUTE(SUBSTITUTE(SUBSTITUTE(SUBSTITUTE(SUBSTITUTE(SUBSTITUTE(SUBSTITUTE(SUBSTITUTE(I37,"24小时保安","24hr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Control"),"")&amp;IF(AND(I37&lt;&gt;"",OR(J37&lt;&gt;"",K37&lt;&gt;""))," · ","")&amp;IF(J37&lt;&gt;"",SUBSTITUTE(SUBSTITUTE(SUBSTITUTE(SUBSTITUTE(SUBSTITUTE(SUBSTITUTE(SUBSTITUTE(SUBSTITUTE(SUBSTITUTE(SUBSTITUTE(SUBSTITUTE(SUBSTITUTE(J37,"24小时保安","24hr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Control"),"")&amp;IF(AND(J37&lt;&gt;"",K37&lt;&gt;"")," · ","")&amp;IF(K37&lt;&gt;"",SUBSTITUTE(SUBSTITUTE(SUBSTITUTE(SUBSTITUTE(SUBSTITUTE(SUBSTITUTE(SUBSTITUTE(SUBSTITUTE(SUBSTITUTE(SUBSTITUTE(SUBSTITUTE(SUBSTITUTE(K37,"24小时保安","24hr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","")&amp;IF(L37&lt;&gt;"","💰 From RM "&amp;TEXT(L37,"#,##0")&amp;"
","")&amp;"
Is this still available? Thank you!","")</f>
        <v/>
      </c>
      <c r="AA37" s="31"/>
      <c r="AB37" s="33" t="str">
        <f aca="false">IF(D37&lt;&gt;"","Helo! Saya ingin membuat pertanyaan projek baru:
🏠 "&amp;Q37&amp;"
"&amp;IF(E37&lt;&gt;"","🛏 "&amp;E37&amp;"Bilik"&amp;IF(F37&lt;&gt;""," "&amp;F37&amp;"Bilik Air","")&amp;"
","")&amp;IF(G37&lt;&gt;"","📐 "&amp;G37&amp;" sqft
","")&amp;IF(H37&lt;&gt;"","🏊 "&amp;SUBSTITUTE(SUBSTITUTE(SUBSTITUTE(SUBSTITUTE(SUBSTITUTE(SUBSTITUTE(SUBSTITUTE(SUBSTITUTE(SUBSTITUTE(SUBSTITUTE(H37,"游泳池","Kolam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Kawalan"),""),"")&lt;&gt;"",IF(OR(I37&lt;&gt;"",J37&lt;&gt;"",K37&lt;&gt;""),"🔒 "&amp;IF(I37&lt;&gt;"",SUBSTITUTE(SUBSTITUTE(SUBSTITUTE(SUBSTITUTE(SUBSTITUTE(SUBSTITUTE(SUBSTITUTE(SUBSTITUTE(SUBSTITUTE(SUBSTITUTE(SUBSTITUTE(SUBSTITUTE(I37,"24小时保安","Pengawal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Kawalan"),"")&amp;IF(AND(I37&lt;&gt;"",OR(J37&lt;&gt;"",K37&lt;&gt;""))," · ","")&amp;IF(J37&lt;&gt;"",SUBSTITUTE(SUBSTITUTE(SUBSTITUTE(SUBSTITUTE(SUBSTITUTE(SUBSTITUTE(SUBSTITUTE(SUBSTITUTE(SUBSTITUTE(SUBSTITUTE(SUBSTITUTE(SUBSTITUTE(J37,"24小时保安","Pengawal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Kawalan"),"")&amp;IF(AND(J37&lt;&gt;"",K37&lt;&gt;"")," · ","")&amp;IF(K37&lt;&gt;"",SUBSTITUTE(SUBSTITUTE(SUBSTITUTE(SUBSTITUTE(SUBSTITUTE(SUBSTITUTE(SUBSTITUTE(SUBSTITUTE(SUBSTITUTE(SUBSTITUTE(SUBSTITUTE(SUBSTITUTE(K37,"24小时保安","Pengawal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","")&amp;IF(L37&lt;&gt;"","💰 Dari RM "&amp;TEXT(L37,"#,##0")&amp;"
","")&amp;"
Adakah masih tersedia? Terima kasih!","")</f>
        <v/>
      </c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9"/>
      <c r="J38" s="29"/>
      <c r="K38" s="29"/>
      <c r="L38" s="28"/>
      <c r="M38" s="30"/>
      <c r="N38" s="31" t="str">
        <f aca="false">IFERROR(ifs(B38="🏢 Condo 公寓","fa-building",B38="🏠 Apartment 单位","fa-home",B38="🌿 即租即住","fa-home",B38="🌿 近国际学校","fa-school",B38="📌 商业旺铺","fa-store",B38="🌟 海景豪宅","fa-water-ladder",B38="📈 投资优选","fa-chart-line",B38="🏞️ 花园住宅","fa-tree",B38="🌟 2026全新地标","fa-drafting-compass",B38="📈 海外投资优选","fa-globe",B38="🌆 核心地段","fa-city",B38="🔥 限时优惠","fa-fire",B38="✅ 永久产权","fa-certificate",B38="🏅 高回报","fa-medal",B38="🏖️ 度假胜地","fa-umbrella-beach",B38="🏫 学区优选","fa-graduation-cap",B38="🛣️ 交通便利","fa-road",B38="🔑 即买即住","fa-key"),"fa-home")</f>
        <v>fa-home</v>
      </c>
      <c r="O38" s="31" t="str">
        <f aca="false">IF(D38&lt;&gt;"",D38,"")</f>
        <v/>
      </c>
      <c r="P38" s="31" t="str">
        <f aca="false">IF(D38&lt;&gt;"",SUBSTITUTE(SUBSTITUTE(SUBSTITUTE(SUBSTITUTE(SUBSTITUTE(SUBSTITUTE(SUBSTITUTE(SUBSTITUTE(SUBSTITUTE(SUBSTITUTE(D38,"亚庇","Kota Kinabalu"),"公寓","Condo"),"排屋","Terrace"),"别墅","Villa"),"店铺","Shop"),"新山","Johor Bahru"),"市中心","City Centre"),"高级","Premium"),"单位","Unit"),"住宅","Residence"),"")</f>
        <v/>
      </c>
      <c r="Q38" s="31" t="str">
        <f aca="false">IF(D38&lt;&gt;"",SUBSTITUTE(SUBSTITUTE(SUBSTITUTE(SUBSTITUTE(SUBSTITUTE(SUBSTITUTE(SUBSTITUTE(SUBSTITUTE(SUBSTITUTE(SUBSTITUTE(D38,"亚庇","Kota Kinabalu"),"公寓","Kondominium"),"排屋","Rumah Teres"),"别墅","Vila"),"店铺","Kedai"),"新山","Johor Bahru"),"市中心","Pusat Bandar"),"高级","Premium"),"单位","Unit"),"住宅","Kediaman"),"")</f>
        <v/>
      </c>
      <c r="R38" s="31" t="str">
        <f aca="false">IF(D38&lt;&gt;"","📍 "&amp;IF(E38&lt;&gt;"",E38&amp;"房","")&amp;IF(F38&lt;&gt;"",F38&amp;"卫 ","")&amp;IF(G38&lt;&gt;"",G38&amp;" sqft","")&amp;IF(AND(OR(E38&lt;&gt;"",G38&lt;&gt;""),H38&lt;&gt;"")," · ","")&amp;IF(H38&lt;&gt;"",H38,""),"")</f>
        <v/>
      </c>
      <c r="S38" s="31" t="str">
        <f aca="false">IF(D38&lt;&gt;"","📍 "&amp;IF(E38&lt;&gt;"",E38&amp;"BR ","")&amp;IF(F38&lt;&gt;"",F38&amp;"BA ","")&amp;IF(G38&lt;&gt;"",G38&amp;" sqft","")&amp;IF(AND(OR(E38&lt;&gt;"",G38&lt;&gt;""),H38&lt;&gt;"")," · ","")&amp;IF(H38&lt;&gt;"",SUBSTITUTE(SUBSTITUTE(SUBSTITUTE(SUBSTITUTE(SUBSTITUTE(SUBSTITUTE(SUBSTITUTE(SUBSTITUTE(SUBSTITUTE(SUBSTITUTE(H38,"游泳池","Swimming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8" s="31" t="str">
        <f aca="false">IF(D38&lt;&gt;"","📍 "&amp;IF(E38&lt;&gt;"",E38&amp;"Bilik ","")&amp;IF(F38&lt;&gt;"",F38&amp;"Bilik Air ","")&amp;IF(G38&lt;&gt;"",G38&amp;" sqft","")&amp;IF(AND(OR(E38&lt;&gt;"",G38&lt;&gt;""),H38&lt;&gt;"")," · ","")&amp;IF(H38&lt;&gt;"",SUBSTITUTE(SUBSTITUTE(SUBSTITUTE(SUBSTITUTE(SUBSTITUTE(SUBSTITUTE(SUBSTITUTE(SUBSTITUTE(SUBSTITUTE(SUBSTITUTE(H38,"游泳池","Kolam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8" s="32" t="str">
        <f aca="false">IF(OR(I38&lt;&gt;"",J38&lt;&gt;"",K38&lt;&gt;""),"🔒 "&amp;IF(I38&lt;&gt;"",I38,"")&amp;IF(AND(I38&lt;&gt;"",J38&lt;&gt;"")," · ","")&amp;IF(J38&lt;&gt;"",J38,"")&amp;IF(AND(OR(I38&lt;&gt;"",J38&lt;&gt;""),K38&lt;&gt;"")," · ","")&amp;IF(K38&lt;&gt;"",K38,""),"")</f>
        <v/>
      </c>
      <c r="V38" s="31" t="str">
        <f aca="false">IF(L38&lt;&gt;"","💰 起价 RM "&amp;TEXT(L38,"#,##0"),"")</f>
        <v/>
      </c>
      <c r="W38" s="31" t="str">
        <f aca="false">IF(L38&lt;&gt;"","💰 From RM "&amp;TEXT(L38,"#,##0"),"")</f>
        <v/>
      </c>
      <c r="X38" s="31" t="str">
        <f aca="false">IF(L38&lt;&gt;"","💰 Dari RM "&amp;TEXT(L38,"#,##0"),"")</f>
        <v/>
      </c>
      <c r="Y38" s="33" t="str">
        <f aca="false">IF(D38&lt;&gt;"","您好！我想咨询新楼盘：
🏠 "&amp;D38&amp;"
"&amp;IF(E38&lt;&gt;"","🛏 "&amp;E38&amp;"房"&amp;IF(F38&lt;&gt;""," "&amp;F38&amp;"卫","")&amp;"
","")&amp;IF(G38&lt;&gt;"","📐 "&amp;G38&amp;" sqft
","")&amp;IF(H38&lt;&gt;"","🏊 "&amp;H38&amp;"
","")&amp;IF(U38&lt;&gt;"",U38&amp;"
","")&amp;IF(L38&lt;&gt;"","💰 起价 RM "&amp;TEXT(L38,"#,##0")&amp;"
","")&amp;"
请问还有空档吗？谢谢！","")</f>
        <v/>
      </c>
      <c r="Z38" s="33" t="str">
        <f aca="false">IF(D38&lt;&gt;"","Hi! I'd like to make a new launch enquiry:
🏠 "&amp;P38&amp;"
"&amp;IF(E38&lt;&gt;"","🛏 "&amp;E38&amp;"BR"&amp;IF(F38&lt;&gt;""," "&amp;F38&amp;"BA","")&amp;"
","")&amp;IF(G38&lt;&gt;"","📐 "&amp;G38&amp;" sqft
","")&amp;IF(H38&lt;&gt;"","🏊 "&amp;SUBSTITUTE(SUBSTITUTE(SUBSTITUTE(SUBSTITUTE(SUBSTITUTE(SUBSTITUTE(SUBSTITUTE(SUBSTITUTE(SUBSTITUTE(SUBSTITUTE(H38,"游泳池","Swimming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Control"),""),"")&lt;&gt;"",IF(OR(I38&lt;&gt;"",J38&lt;&gt;"",K38&lt;&gt;""),"🔒 "&amp;IF(I38&lt;&gt;"",SUBSTITUTE(SUBSTITUTE(SUBSTITUTE(SUBSTITUTE(SUBSTITUTE(SUBSTITUTE(SUBSTITUTE(SUBSTITUTE(SUBSTITUTE(SUBSTITUTE(SUBSTITUTE(SUBSTITUTE(I38,"24小时保安","24hr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Control"),"")&amp;IF(AND(I38&lt;&gt;"",OR(J38&lt;&gt;"",K38&lt;&gt;""))," · ","")&amp;IF(J38&lt;&gt;"",SUBSTITUTE(SUBSTITUTE(SUBSTITUTE(SUBSTITUTE(SUBSTITUTE(SUBSTITUTE(SUBSTITUTE(SUBSTITUTE(SUBSTITUTE(SUBSTITUTE(SUBSTITUTE(SUBSTITUTE(J38,"24小时保安","24hr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Control"),"")&amp;IF(AND(J38&lt;&gt;"",K38&lt;&gt;"")," · ","")&amp;IF(K38&lt;&gt;"",SUBSTITUTE(SUBSTITUTE(SUBSTITUTE(SUBSTITUTE(SUBSTITUTE(SUBSTITUTE(SUBSTITUTE(SUBSTITUTE(SUBSTITUTE(SUBSTITUTE(SUBSTITUTE(SUBSTITUTE(K38,"24小时保安","24hr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","")&amp;IF(L38&lt;&gt;"","💰 From RM "&amp;TEXT(L38,"#,##0")&amp;"
","")&amp;"
Is this still available? Thank you!","")</f>
        <v/>
      </c>
      <c r="AA38" s="31"/>
      <c r="AB38" s="33" t="str">
        <f aca="false">IF(D38&lt;&gt;"","Helo! Saya ingin membuat pertanyaan projek baru:
🏠 "&amp;Q38&amp;"
"&amp;IF(E38&lt;&gt;"","🛏 "&amp;E38&amp;"Bilik"&amp;IF(F38&lt;&gt;""," "&amp;F38&amp;"Bilik Air","")&amp;"
","")&amp;IF(G38&lt;&gt;"","📐 "&amp;G38&amp;" sqft
","")&amp;IF(H38&lt;&gt;"","🏊 "&amp;SUBSTITUTE(SUBSTITUTE(SUBSTITUTE(SUBSTITUTE(SUBSTITUTE(SUBSTITUTE(SUBSTITUTE(SUBSTITUTE(SUBSTITUTE(SUBSTITUTE(H38,"游泳池","Kolam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Kawalan"),""),"")&lt;&gt;"",IF(OR(I38&lt;&gt;"",J38&lt;&gt;"",K38&lt;&gt;""),"🔒 "&amp;IF(I38&lt;&gt;"",SUBSTITUTE(SUBSTITUTE(SUBSTITUTE(SUBSTITUTE(SUBSTITUTE(SUBSTITUTE(SUBSTITUTE(SUBSTITUTE(SUBSTITUTE(SUBSTITUTE(SUBSTITUTE(SUBSTITUTE(I38,"24小时保安","Pengawal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Kawalan"),"")&amp;IF(AND(I38&lt;&gt;"",OR(J38&lt;&gt;"",K38&lt;&gt;""))," · ","")&amp;IF(J38&lt;&gt;"",SUBSTITUTE(SUBSTITUTE(SUBSTITUTE(SUBSTITUTE(SUBSTITUTE(SUBSTITUTE(SUBSTITUTE(SUBSTITUTE(SUBSTITUTE(SUBSTITUTE(SUBSTITUTE(SUBSTITUTE(J38,"24小时保安","Pengawal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Kawalan"),"")&amp;IF(AND(J38&lt;&gt;"",K38&lt;&gt;"")," · ","")&amp;IF(K38&lt;&gt;"",SUBSTITUTE(SUBSTITUTE(SUBSTITUTE(SUBSTITUTE(SUBSTITUTE(SUBSTITUTE(SUBSTITUTE(SUBSTITUTE(SUBSTITUTE(SUBSTITUTE(SUBSTITUTE(SUBSTITUTE(K38,"24小时保安","Pengawal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","")&amp;IF(L38&lt;&gt;"","💰 Dari RM "&amp;TEXT(L38,"#,##0")&amp;"
","")&amp;"
Adakah masih tersedia? Terima kasih!","")</f>
        <v/>
      </c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9"/>
      <c r="J39" s="29"/>
      <c r="K39" s="29"/>
      <c r="L39" s="28"/>
      <c r="M39" s="30"/>
      <c r="N39" s="31" t="str">
        <f aca="false">IFERROR(ifs(B39="🏢 Condo 公寓","fa-building",B39="🏠 Apartment 单位","fa-home",B39="🌿 即租即住","fa-home",B39="🌿 近国际学校","fa-school",B39="📌 商业旺铺","fa-store",B39="🌟 海景豪宅","fa-water-ladder",B39="📈 投资优选","fa-chart-line",B39="🏞️ 花园住宅","fa-tree",B39="🌟 2026全新地标","fa-drafting-compass",B39="📈 海外投资优选","fa-globe",B39="🌆 核心地段","fa-city",B39="🔥 限时优惠","fa-fire",B39="✅ 永久产权","fa-certificate",B39="🏅 高回报","fa-medal",B39="🏖️ 度假胜地","fa-umbrella-beach",B39="🏫 学区优选","fa-graduation-cap",B39="🛣️ 交通便利","fa-road",B39="🔑 即买即住","fa-key"),"fa-home")</f>
        <v>fa-home</v>
      </c>
      <c r="O39" s="31" t="str">
        <f aca="false">IF(D39&lt;&gt;"",D39,"")</f>
        <v/>
      </c>
      <c r="P39" s="31" t="str">
        <f aca="false">IF(D39&lt;&gt;"",SUBSTITUTE(SUBSTITUTE(SUBSTITUTE(SUBSTITUTE(SUBSTITUTE(SUBSTITUTE(SUBSTITUTE(SUBSTITUTE(SUBSTITUTE(SUBSTITUTE(D39,"亚庇","Kota Kinabalu"),"公寓","Condo"),"排屋","Terrace"),"别墅","Villa"),"店铺","Shop"),"新山","Johor Bahru"),"市中心","City Centre"),"高级","Premium"),"单位","Unit"),"住宅","Residence"),"")</f>
        <v/>
      </c>
      <c r="Q39" s="31" t="str">
        <f aca="false">IF(D39&lt;&gt;"",SUBSTITUTE(SUBSTITUTE(SUBSTITUTE(SUBSTITUTE(SUBSTITUTE(SUBSTITUTE(SUBSTITUTE(SUBSTITUTE(SUBSTITUTE(SUBSTITUTE(D39,"亚庇","Kota Kinabalu"),"公寓","Kondominium"),"排屋","Rumah Teres"),"别墅","Vila"),"店铺","Kedai"),"新山","Johor Bahru"),"市中心","Pusat Bandar"),"高级","Premium"),"单位","Unit"),"住宅","Kediaman"),"")</f>
        <v/>
      </c>
      <c r="R39" s="31" t="str">
        <f aca="false">IF(D39&lt;&gt;"","📍 "&amp;IF(E39&lt;&gt;"",E39&amp;"房","")&amp;IF(F39&lt;&gt;"",F39&amp;"卫 ","")&amp;IF(G39&lt;&gt;"",G39&amp;" sqft","")&amp;IF(AND(OR(E39&lt;&gt;"",G39&lt;&gt;""),H39&lt;&gt;"")," · ","")&amp;IF(H39&lt;&gt;"",H39,""),"")</f>
        <v/>
      </c>
      <c r="S39" s="31" t="str">
        <f aca="false">IF(D39&lt;&gt;"","📍 "&amp;IF(E39&lt;&gt;"",E39&amp;"BR ","")&amp;IF(F39&lt;&gt;"",F39&amp;"BA ","")&amp;IF(G39&lt;&gt;"",G39&amp;" sqft","")&amp;IF(AND(OR(E39&lt;&gt;"",G39&lt;&gt;""),H39&lt;&gt;"")," · ","")&amp;IF(H39&lt;&gt;"",SUBSTITUTE(SUBSTITUTE(SUBSTITUTE(SUBSTITUTE(SUBSTITUTE(SUBSTITUTE(SUBSTITUTE(SUBSTITUTE(SUBSTITUTE(SUBSTITUTE(H39,"游泳池","Swimming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39" s="31" t="str">
        <f aca="false">IF(D39&lt;&gt;"","📍 "&amp;IF(E39&lt;&gt;"",E39&amp;"Bilik ","")&amp;IF(F39&lt;&gt;"",F39&amp;"Bilik Air ","")&amp;IF(G39&lt;&gt;"",G39&amp;" sqft","")&amp;IF(AND(OR(E39&lt;&gt;"",G39&lt;&gt;""),H39&lt;&gt;"")," · ","")&amp;IF(H39&lt;&gt;"",SUBSTITUTE(SUBSTITUTE(SUBSTITUTE(SUBSTITUTE(SUBSTITUTE(SUBSTITUTE(SUBSTITUTE(SUBSTITUTE(SUBSTITUTE(SUBSTITUTE(H39,"游泳池","Kolam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39" s="32" t="str">
        <f aca="false">IF(OR(I39&lt;&gt;"",J39&lt;&gt;"",K39&lt;&gt;""),"🔒 "&amp;IF(I39&lt;&gt;"",I39,"")&amp;IF(AND(I39&lt;&gt;"",J39&lt;&gt;"")," · ","")&amp;IF(J39&lt;&gt;"",J39,"")&amp;IF(AND(OR(I39&lt;&gt;"",J39&lt;&gt;""),K39&lt;&gt;"")," · ","")&amp;IF(K39&lt;&gt;"",K39,""),"")</f>
        <v/>
      </c>
      <c r="V39" s="31" t="str">
        <f aca="false">IF(L39&lt;&gt;"","💰 起价 RM "&amp;TEXT(L39,"#,##0"),"")</f>
        <v/>
      </c>
      <c r="W39" s="31" t="str">
        <f aca="false">IF(L39&lt;&gt;"","💰 From RM "&amp;TEXT(L39,"#,##0"),"")</f>
        <v/>
      </c>
      <c r="X39" s="31" t="str">
        <f aca="false">IF(L39&lt;&gt;"","💰 Dari RM "&amp;TEXT(L39,"#,##0"),"")</f>
        <v/>
      </c>
      <c r="Y39" s="33" t="str">
        <f aca="false">IF(D39&lt;&gt;"","您好！我想咨询新楼盘：
🏠 "&amp;D39&amp;"
"&amp;IF(E39&lt;&gt;"","🛏 "&amp;E39&amp;"房"&amp;IF(F39&lt;&gt;""," "&amp;F39&amp;"卫","")&amp;"
","")&amp;IF(G39&lt;&gt;"","📐 "&amp;G39&amp;" sqft
","")&amp;IF(H39&lt;&gt;"","🏊 "&amp;H39&amp;"
","")&amp;IF(U39&lt;&gt;"",U39&amp;"
","")&amp;IF(L39&lt;&gt;"","💰 起价 RM "&amp;TEXT(L39,"#,##0")&amp;"
","")&amp;"
请问还有空档吗？谢谢！","")</f>
        <v/>
      </c>
      <c r="Z39" s="33" t="str">
        <f aca="false">IF(D39&lt;&gt;"","Hi! I'd like to make a new launch enquiry:
🏠 "&amp;P39&amp;"
"&amp;IF(E39&lt;&gt;"","🛏 "&amp;E39&amp;"BR"&amp;IF(F39&lt;&gt;""," "&amp;F39&amp;"BA","")&amp;"
","")&amp;IF(G39&lt;&gt;"","📐 "&amp;G39&amp;" sqft
","")&amp;IF(H39&lt;&gt;"","🏊 "&amp;SUBSTITUTE(SUBSTITUTE(SUBSTITUTE(SUBSTITUTE(SUBSTITUTE(SUBSTITUTE(SUBSTITUTE(SUBSTITUTE(SUBSTITUTE(SUBSTITUTE(H39,"游泳池","Swimming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Control"),""),"")&lt;&gt;"",IF(OR(I39&lt;&gt;"",J39&lt;&gt;"",K39&lt;&gt;""),"🔒 "&amp;IF(I39&lt;&gt;"",SUBSTITUTE(SUBSTITUTE(SUBSTITUTE(SUBSTITUTE(SUBSTITUTE(SUBSTITUTE(SUBSTITUTE(SUBSTITUTE(SUBSTITUTE(SUBSTITUTE(SUBSTITUTE(SUBSTITUTE(I39,"24小时保安","24hr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Control"),"")&amp;IF(AND(I39&lt;&gt;"",OR(J39&lt;&gt;"",K39&lt;&gt;""))," · ","")&amp;IF(J39&lt;&gt;"",SUBSTITUTE(SUBSTITUTE(SUBSTITUTE(SUBSTITUTE(SUBSTITUTE(SUBSTITUTE(SUBSTITUTE(SUBSTITUTE(SUBSTITUTE(SUBSTITUTE(SUBSTITUTE(SUBSTITUTE(J39,"24小时保安","24hr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Control"),"")&amp;IF(AND(J39&lt;&gt;"",K39&lt;&gt;"")," · ","")&amp;IF(K39&lt;&gt;"",SUBSTITUTE(SUBSTITUTE(SUBSTITUTE(SUBSTITUTE(SUBSTITUTE(SUBSTITUTE(SUBSTITUTE(SUBSTITUTE(SUBSTITUTE(SUBSTITUTE(SUBSTITUTE(SUBSTITUTE(K39,"24小时保安","24hr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","")&amp;IF(L39&lt;&gt;"","💰 From RM "&amp;TEXT(L39,"#,##0")&amp;"
","")&amp;"
Is this still available? Thank you!","")</f>
        <v/>
      </c>
      <c r="AA39" s="31"/>
      <c r="AB39" s="33" t="str">
        <f aca="false">IF(D39&lt;&gt;"","Helo! Saya ingin membuat pertanyaan projek baru:
🏠 "&amp;Q39&amp;"
"&amp;IF(E39&lt;&gt;"","🛏 "&amp;E39&amp;"Bilik"&amp;IF(F39&lt;&gt;""," "&amp;F39&amp;"Bilik Air","")&amp;"
","")&amp;IF(G39&lt;&gt;"","📐 "&amp;G39&amp;" sqft
","")&amp;IF(H39&lt;&gt;"","🏊 "&amp;SUBSTITUTE(SUBSTITUTE(SUBSTITUTE(SUBSTITUTE(SUBSTITUTE(SUBSTITUTE(SUBSTITUTE(SUBSTITUTE(SUBSTITUTE(SUBSTITUTE(H39,"游泳池","Kolam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Kawalan"),""),"")&lt;&gt;"",IF(OR(I39&lt;&gt;"",J39&lt;&gt;"",K39&lt;&gt;""),"🔒 "&amp;IF(I39&lt;&gt;"",SUBSTITUTE(SUBSTITUTE(SUBSTITUTE(SUBSTITUTE(SUBSTITUTE(SUBSTITUTE(SUBSTITUTE(SUBSTITUTE(SUBSTITUTE(SUBSTITUTE(SUBSTITUTE(SUBSTITUTE(I39,"24小时保安","Pengawal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Kawalan"),"")&amp;IF(AND(I39&lt;&gt;"",OR(J39&lt;&gt;"",K39&lt;&gt;""))," · ","")&amp;IF(J39&lt;&gt;"",SUBSTITUTE(SUBSTITUTE(SUBSTITUTE(SUBSTITUTE(SUBSTITUTE(SUBSTITUTE(SUBSTITUTE(SUBSTITUTE(SUBSTITUTE(SUBSTITUTE(SUBSTITUTE(SUBSTITUTE(J39,"24小时保安","Pengawal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Kawalan"),"")&amp;IF(AND(J39&lt;&gt;"",K39&lt;&gt;"")," · ","")&amp;IF(K39&lt;&gt;"",SUBSTITUTE(SUBSTITUTE(SUBSTITUTE(SUBSTITUTE(SUBSTITUTE(SUBSTITUTE(SUBSTITUTE(SUBSTITUTE(SUBSTITUTE(SUBSTITUTE(SUBSTITUTE(SUBSTITUTE(K39,"24小时保安","Pengawal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","")&amp;IF(L39&lt;&gt;"","💰 Dari RM "&amp;TEXT(L39,"#,##0")&amp;"
","")&amp;"
Adakah masih tersedia? Terima kasih!","")</f>
        <v/>
      </c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9"/>
      <c r="J40" s="29"/>
      <c r="K40" s="29"/>
      <c r="L40" s="28"/>
      <c r="M40" s="30"/>
      <c r="N40" s="31" t="str">
        <f aca="false">IFERROR(ifs(B40="🏢 Condo 公寓","fa-building",B40="🏠 Apartment 单位","fa-home",B40="🌿 即租即住","fa-home",B40="🌿 近国际学校","fa-school",B40="📌 商业旺铺","fa-store",B40="🌟 海景豪宅","fa-water-ladder",B40="📈 投资优选","fa-chart-line",B40="🏞️ 花园住宅","fa-tree",B40="🌟 2026全新地标","fa-drafting-compass",B40="📈 海外投资优选","fa-globe",B40="🌆 核心地段","fa-city",B40="🔥 限时优惠","fa-fire",B40="✅ 永久产权","fa-certificate",B40="🏅 高回报","fa-medal",B40="🏖️ 度假胜地","fa-umbrella-beach",B40="🏫 学区优选","fa-graduation-cap",B40="🛣️ 交通便利","fa-road",B40="🔑 即买即住","fa-key"),"fa-home")</f>
        <v>fa-home</v>
      </c>
      <c r="O40" s="31" t="str">
        <f aca="false">IF(D40&lt;&gt;"",D40,"")</f>
        <v/>
      </c>
      <c r="P40" s="31" t="str">
        <f aca="false">IF(D40&lt;&gt;"",SUBSTITUTE(SUBSTITUTE(SUBSTITUTE(SUBSTITUTE(SUBSTITUTE(SUBSTITUTE(SUBSTITUTE(SUBSTITUTE(SUBSTITUTE(SUBSTITUTE(D40,"亚庇","Kota Kinabalu"),"公寓","Condo"),"排屋","Terrace"),"别墅","Villa"),"店铺","Shop"),"新山","Johor Bahru"),"市中心","City Centre"),"高级","Premium"),"单位","Unit"),"住宅","Residence"),"")</f>
        <v/>
      </c>
      <c r="Q40" s="31" t="str">
        <f aca="false">IF(D40&lt;&gt;"",SUBSTITUTE(SUBSTITUTE(SUBSTITUTE(SUBSTITUTE(SUBSTITUTE(SUBSTITUTE(SUBSTITUTE(SUBSTITUTE(SUBSTITUTE(SUBSTITUTE(D40,"亚庇","Kota Kinabalu"),"公寓","Kondominium"),"排屋","Rumah Teres"),"别墅","Vila"),"店铺","Kedai"),"新山","Johor Bahru"),"市中心","Pusat Bandar"),"高级","Premium"),"单位","Unit"),"住宅","Kediaman"),"")</f>
        <v/>
      </c>
      <c r="R40" s="31" t="str">
        <f aca="false">IF(D40&lt;&gt;"","📍 "&amp;IF(E40&lt;&gt;"",E40&amp;"房","")&amp;IF(F40&lt;&gt;"",F40&amp;"卫 ","")&amp;IF(G40&lt;&gt;"",G40&amp;" sqft","")&amp;IF(AND(OR(E40&lt;&gt;"",G40&lt;&gt;""),H40&lt;&gt;"")," · ","")&amp;IF(H40&lt;&gt;"",H40,""),"")</f>
        <v/>
      </c>
      <c r="S40" s="31" t="str">
        <f aca="false">IF(D40&lt;&gt;"","📍 "&amp;IF(E40&lt;&gt;"",E40&amp;"BR ","")&amp;IF(F40&lt;&gt;"",F40&amp;"BA ","")&amp;IF(G40&lt;&gt;"",G40&amp;" sqft","")&amp;IF(AND(OR(E40&lt;&gt;"",G40&lt;&gt;""),H40&lt;&gt;"")," · ","")&amp;IF(H40&lt;&gt;"",SUBSTITUTE(SUBSTITUTE(SUBSTITUTE(SUBSTITUTE(SUBSTITUTE(SUBSTITUTE(SUBSTITUTE(SUBSTITUTE(SUBSTITUTE(SUBSTITUTE(H40,"游泳池","Swimming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0" s="31" t="str">
        <f aca="false">IF(D40&lt;&gt;"","📍 "&amp;IF(E40&lt;&gt;"",E40&amp;"Bilik ","")&amp;IF(F40&lt;&gt;"",F40&amp;"Bilik Air ","")&amp;IF(G40&lt;&gt;"",G40&amp;" sqft","")&amp;IF(AND(OR(E40&lt;&gt;"",G40&lt;&gt;""),H40&lt;&gt;"")," · ","")&amp;IF(H40&lt;&gt;"",SUBSTITUTE(SUBSTITUTE(SUBSTITUTE(SUBSTITUTE(SUBSTITUTE(SUBSTITUTE(SUBSTITUTE(SUBSTITUTE(SUBSTITUTE(SUBSTITUTE(H40,"游泳池","Kolam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0" s="32" t="str">
        <f aca="false">IF(OR(I40&lt;&gt;"",J40&lt;&gt;"",K40&lt;&gt;""),"🔒 "&amp;IF(I40&lt;&gt;"",I40,"")&amp;IF(AND(I40&lt;&gt;"",J40&lt;&gt;"")," · ","")&amp;IF(J40&lt;&gt;"",J40,"")&amp;IF(AND(OR(I40&lt;&gt;"",J40&lt;&gt;""),K40&lt;&gt;"")," · ","")&amp;IF(K40&lt;&gt;"",K40,""),"")</f>
        <v/>
      </c>
      <c r="V40" s="31" t="str">
        <f aca="false">IF(L40&lt;&gt;"","💰 起价 RM "&amp;TEXT(L40,"#,##0"),"")</f>
        <v/>
      </c>
      <c r="W40" s="31" t="str">
        <f aca="false">IF(L40&lt;&gt;"","💰 From RM "&amp;TEXT(L40,"#,##0"),"")</f>
        <v/>
      </c>
      <c r="X40" s="31" t="str">
        <f aca="false">IF(L40&lt;&gt;"","💰 Dari RM "&amp;TEXT(L40,"#,##0"),"")</f>
        <v/>
      </c>
      <c r="Y40" s="33" t="str">
        <f aca="false">IF(D40&lt;&gt;"","您好！我想咨询新楼盘：
🏠 "&amp;D40&amp;"
"&amp;IF(E40&lt;&gt;"","🛏 "&amp;E40&amp;"房"&amp;IF(F40&lt;&gt;""," "&amp;F40&amp;"卫","")&amp;"
","")&amp;IF(G40&lt;&gt;"","📐 "&amp;G40&amp;" sqft
","")&amp;IF(H40&lt;&gt;"","🏊 "&amp;H40&amp;"
","")&amp;IF(U40&lt;&gt;"",U40&amp;"
","")&amp;IF(L40&lt;&gt;"","💰 起价 RM "&amp;TEXT(L40,"#,##0")&amp;"
","")&amp;"
请问还有空档吗？谢谢！","")</f>
        <v/>
      </c>
      <c r="Z40" s="33" t="str">
        <f aca="false">IF(D40&lt;&gt;"","Hi! I'd like to make a new launch enquiry:
🏠 "&amp;P40&amp;"
"&amp;IF(E40&lt;&gt;"","🛏 "&amp;E40&amp;"BR"&amp;IF(F40&lt;&gt;""," "&amp;F40&amp;"BA","")&amp;"
","")&amp;IF(G40&lt;&gt;"","📐 "&amp;G40&amp;" sqft
","")&amp;IF(H40&lt;&gt;"","🏊 "&amp;SUBSTITUTE(SUBSTITUTE(SUBSTITUTE(SUBSTITUTE(SUBSTITUTE(SUBSTITUTE(SUBSTITUTE(SUBSTITUTE(SUBSTITUTE(SUBSTITUTE(H40,"游泳池","Swimming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Control"),""),"")&lt;&gt;"",IF(OR(I40&lt;&gt;"",J40&lt;&gt;"",K40&lt;&gt;""),"🔒 "&amp;IF(I40&lt;&gt;"",SUBSTITUTE(SUBSTITUTE(SUBSTITUTE(SUBSTITUTE(SUBSTITUTE(SUBSTITUTE(SUBSTITUTE(SUBSTITUTE(SUBSTITUTE(SUBSTITUTE(SUBSTITUTE(SUBSTITUTE(I40,"24小时保安","24hr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Control"),"")&amp;IF(AND(I40&lt;&gt;"",OR(J40&lt;&gt;"",K40&lt;&gt;""))," · ","")&amp;IF(J40&lt;&gt;"",SUBSTITUTE(SUBSTITUTE(SUBSTITUTE(SUBSTITUTE(SUBSTITUTE(SUBSTITUTE(SUBSTITUTE(SUBSTITUTE(SUBSTITUTE(SUBSTITUTE(SUBSTITUTE(SUBSTITUTE(J40,"24小时保安","24hr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Control"),"")&amp;IF(AND(J40&lt;&gt;"",K40&lt;&gt;"")," · ","")&amp;IF(K40&lt;&gt;"",SUBSTITUTE(SUBSTITUTE(SUBSTITUTE(SUBSTITUTE(SUBSTITUTE(SUBSTITUTE(SUBSTITUTE(SUBSTITUTE(SUBSTITUTE(SUBSTITUTE(SUBSTITUTE(SUBSTITUTE(K40,"24小时保安","24hr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","")&amp;IF(L40&lt;&gt;"","💰 From RM "&amp;TEXT(L40,"#,##0")&amp;"
","")&amp;"
Is this still available? Thank you!","")</f>
        <v/>
      </c>
      <c r="AA40" s="31"/>
      <c r="AB40" s="33" t="str">
        <f aca="false">IF(D40&lt;&gt;"","Helo! Saya ingin membuat pertanyaan projek baru:
🏠 "&amp;Q40&amp;"
"&amp;IF(E40&lt;&gt;"","🛏 "&amp;E40&amp;"Bilik"&amp;IF(F40&lt;&gt;""," "&amp;F40&amp;"Bilik Air","")&amp;"
","")&amp;IF(G40&lt;&gt;"","📐 "&amp;G40&amp;" sqft
","")&amp;IF(H40&lt;&gt;"","🏊 "&amp;SUBSTITUTE(SUBSTITUTE(SUBSTITUTE(SUBSTITUTE(SUBSTITUTE(SUBSTITUTE(SUBSTITUTE(SUBSTITUTE(SUBSTITUTE(SUBSTITUTE(H40,"游泳池","Kolam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Kawalan"),""),"")&lt;&gt;"",IF(OR(I40&lt;&gt;"",J40&lt;&gt;"",K40&lt;&gt;""),"🔒 "&amp;IF(I40&lt;&gt;"",SUBSTITUTE(SUBSTITUTE(SUBSTITUTE(SUBSTITUTE(SUBSTITUTE(SUBSTITUTE(SUBSTITUTE(SUBSTITUTE(SUBSTITUTE(SUBSTITUTE(SUBSTITUTE(SUBSTITUTE(I40,"24小时保安","Pengawal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Kawalan"),"")&amp;IF(AND(I40&lt;&gt;"",OR(J40&lt;&gt;"",K40&lt;&gt;""))," · ","")&amp;IF(J40&lt;&gt;"",SUBSTITUTE(SUBSTITUTE(SUBSTITUTE(SUBSTITUTE(SUBSTITUTE(SUBSTITUTE(SUBSTITUTE(SUBSTITUTE(SUBSTITUTE(SUBSTITUTE(SUBSTITUTE(SUBSTITUTE(J40,"24小时保安","Pengawal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Kawalan"),"")&amp;IF(AND(J40&lt;&gt;"",K40&lt;&gt;"")," · ","")&amp;IF(K40&lt;&gt;"",SUBSTITUTE(SUBSTITUTE(SUBSTITUTE(SUBSTITUTE(SUBSTITUTE(SUBSTITUTE(SUBSTITUTE(SUBSTITUTE(SUBSTITUTE(SUBSTITUTE(SUBSTITUTE(SUBSTITUTE(K40,"24小时保安","Pengawal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","")&amp;IF(L40&lt;&gt;"","💰 Dari RM "&amp;TEXT(L40,"#,##0")&amp;"
","")&amp;"
Adakah masih tersedia? Terima kasih!","")</f>
        <v/>
      </c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9"/>
      <c r="J41" s="29"/>
      <c r="K41" s="29"/>
      <c r="L41" s="28"/>
      <c r="M41" s="30"/>
      <c r="N41" s="31" t="str">
        <f aca="false">IFERROR(ifs(B41="🏢 Condo 公寓","fa-building",B41="🏠 Apartment 单位","fa-home",B41="🌿 即租即住","fa-home",B41="🌿 近国际学校","fa-school",B41="📌 商业旺铺","fa-store",B41="🌟 海景豪宅","fa-water-ladder",B41="📈 投资优选","fa-chart-line",B41="🏞️ 花园住宅","fa-tree",B41="🌟 2026全新地标","fa-drafting-compass",B41="📈 海外投资优选","fa-globe",B41="🌆 核心地段","fa-city",B41="🔥 限时优惠","fa-fire",B41="✅ 永久产权","fa-certificate",B41="🏅 高回报","fa-medal",B41="🏖️ 度假胜地","fa-umbrella-beach",B41="🏫 学区优选","fa-graduation-cap",B41="🛣️ 交通便利","fa-road",B41="🔑 即买即住","fa-key"),"fa-home")</f>
        <v>fa-home</v>
      </c>
      <c r="O41" s="31" t="str">
        <f aca="false">IF(D41&lt;&gt;"",D41,"")</f>
        <v/>
      </c>
      <c r="P41" s="31" t="str">
        <f aca="false">IF(D41&lt;&gt;"",SUBSTITUTE(SUBSTITUTE(SUBSTITUTE(SUBSTITUTE(SUBSTITUTE(SUBSTITUTE(SUBSTITUTE(SUBSTITUTE(SUBSTITUTE(SUBSTITUTE(D41,"亚庇","Kota Kinabalu"),"公寓","Condo"),"排屋","Terrace"),"别墅","Villa"),"店铺","Shop"),"新山","Johor Bahru"),"市中心","City Centre"),"高级","Premium"),"单位","Unit"),"住宅","Residence"),"")</f>
        <v/>
      </c>
      <c r="Q41" s="31" t="str">
        <f aca="false">IF(D41&lt;&gt;"",SUBSTITUTE(SUBSTITUTE(SUBSTITUTE(SUBSTITUTE(SUBSTITUTE(SUBSTITUTE(SUBSTITUTE(SUBSTITUTE(SUBSTITUTE(SUBSTITUTE(D41,"亚庇","Kota Kinabalu"),"公寓","Kondominium"),"排屋","Rumah Teres"),"别墅","Vila"),"店铺","Kedai"),"新山","Johor Bahru"),"市中心","Pusat Bandar"),"高级","Premium"),"单位","Unit"),"住宅","Kediaman"),"")</f>
        <v/>
      </c>
      <c r="R41" s="31" t="str">
        <f aca="false">IF(D41&lt;&gt;"","📍 "&amp;IF(E41&lt;&gt;"",E41&amp;"房","")&amp;IF(F41&lt;&gt;"",F41&amp;"卫 ","")&amp;IF(G41&lt;&gt;"",G41&amp;" sqft","")&amp;IF(AND(OR(E41&lt;&gt;"",G41&lt;&gt;""),H41&lt;&gt;"")," · ","")&amp;IF(H41&lt;&gt;"",H41,""),"")</f>
        <v/>
      </c>
      <c r="S41" s="31" t="str">
        <f aca="false">IF(D41&lt;&gt;"","📍 "&amp;IF(E41&lt;&gt;"",E41&amp;"BR ","")&amp;IF(F41&lt;&gt;"",F41&amp;"BA ","")&amp;IF(G41&lt;&gt;"",G41&amp;" sqft","")&amp;IF(AND(OR(E41&lt;&gt;"",G41&lt;&gt;""),H41&lt;&gt;"")," · ","")&amp;IF(H41&lt;&gt;"",SUBSTITUTE(SUBSTITUTE(SUBSTITUTE(SUBSTITUTE(SUBSTITUTE(SUBSTITUTE(SUBSTITUTE(SUBSTITUTE(SUBSTITUTE(SUBSTITUTE(H41,"游泳池","Swimming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1" s="31" t="str">
        <f aca="false">IF(D41&lt;&gt;"","📍 "&amp;IF(E41&lt;&gt;"",E41&amp;"Bilik ","")&amp;IF(F41&lt;&gt;"",F41&amp;"Bilik Air ","")&amp;IF(G41&lt;&gt;"",G41&amp;" sqft","")&amp;IF(AND(OR(E41&lt;&gt;"",G41&lt;&gt;""),H41&lt;&gt;"")," · ","")&amp;IF(H41&lt;&gt;"",SUBSTITUTE(SUBSTITUTE(SUBSTITUTE(SUBSTITUTE(SUBSTITUTE(SUBSTITUTE(SUBSTITUTE(SUBSTITUTE(SUBSTITUTE(SUBSTITUTE(H41,"游泳池","Kolam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1" s="32" t="str">
        <f aca="false">IF(OR(I41&lt;&gt;"",J41&lt;&gt;"",K41&lt;&gt;""),"🔒 "&amp;IF(I41&lt;&gt;"",I41,"")&amp;IF(AND(I41&lt;&gt;"",J41&lt;&gt;"")," · ","")&amp;IF(J41&lt;&gt;"",J41,"")&amp;IF(AND(OR(I41&lt;&gt;"",J41&lt;&gt;""),K41&lt;&gt;"")," · ","")&amp;IF(K41&lt;&gt;"",K41,""),"")</f>
        <v/>
      </c>
      <c r="V41" s="31" t="str">
        <f aca="false">IF(L41&lt;&gt;"","💰 起价 RM "&amp;TEXT(L41,"#,##0"),"")</f>
        <v/>
      </c>
      <c r="W41" s="31" t="str">
        <f aca="false">IF(L41&lt;&gt;"","💰 From RM "&amp;TEXT(L41,"#,##0"),"")</f>
        <v/>
      </c>
      <c r="X41" s="31" t="str">
        <f aca="false">IF(L41&lt;&gt;"","💰 Dari RM "&amp;TEXT(L41,"#,##0"),"")</f>
        <v/>
      </c>
      <c r="Y41" s="33" t="str">
        <f aca="false">IF(D41&lt;&gt;"","您好！我想咨询新楼盘：
🏠 "&amp;D41&amp;"
"&amp;IF(E41&lt;&gt;"","🛏 "&amp;E41&amp;"房"&amp;IF(F41&lt;&gt;""," "&amp;F41&amp;"卫","")&amp;"
","")&amp;IF(G41&lt;&gt;"","📐 "&amp;G41&amp;" sqft
","")&amp;IF(H41&lt;&gt;"","🏊 "&amp;H41&amp;"
","")&amp;IF(U41&lt;&gt;"",U41&amp;"
","")&amp;IF(L41&lt;&gt;"","💰 起价 RM "&amp;TEXT(L41,"#,##0")&amp;"
","")&amp;"
请问还有空档吗？谢谢！","")</f>
        <v/>
      </c>
      <c r="Z41" s="33" t="str">
        <f aca="false">IF(D41&lt;&gt;"","Hi! I'd like to make a new launch enquiry:
🏠 "&amp;P41&amp;"
"&amp;IF(E41&lt;&gt;"","🛏 "&amp;E41&amp;"BR"&amp;IF(F41&lt;&gt;""," "&amp;F41&amp;"BA","")&amp;"
","")&amp;IF(G41&lt;&gt;"","📐 "&amp;G41&amp;" sqft
","")&amp;IF(H41&lt;&gt;"","🏊 "&amp;SUBSTITUTE(SUBSTITUTE(SUBSTITUTE(SUBSTITUTE(SUBSTITUTE(SUBSTITUTE(SUBSTITUTE(SUBSTITUTE(SUBSTITUTE(SUBSTITUTE(H41,"游泳池","Swimming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Control"),""),"")&lt;&gt;"",IF(OR(I41&lt;&gt;"",J41&lt;&gt;"",K41&lt;&gt;""),"🔒 "&amp;IF(I41&lt;&gt;"",SUBSTITUTE(SUBSTITUTE(SUBSTITUTE(SUBSTITUTE(SUBSTITUTE(SUBSTITUTE(SUBSTITUTE(SUBSTITUTE(SUBSTITUTE(SUBSTITUTE(SUBSTITUTE(SUBSTITUTE(I41,"24小时保安","24hr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Control"),"")&amp;IF(AND(I41&lt;&gt;"",OR(J41&lt;&gt;"",K41&lt;&gt;""))," · ","")&amp;IF(J41&lt;&gt;"",SUBSTITUTE(SUBSTITUTE(SUBSTITUTE(SUBSTITUTE(SUBSTITUTE(SUBSTITUTE(SUBSTITUTE(SUBSTITUTE(SUBSTITUTE(SUBSTITUTE(SUBSTITUTE(SUBSTITUTE(J41,"24小时保安","24hr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Control"),"")&amp;IF(AND(J41&lt;&gt;"",K41&lt;&gt;"")," · ","")&amp;IF(K41&lt;&gt;"",SUBSTITUTE(SUBSTITUTE(SUBSTITUTE(SUBSTITUTE(SUBSTITUTE(SUBSTITUTE(SUBSTITUTE(SUBSTITUTE(SUBSTITUTE(SUBSTITUTE(SUBSTITUTE(SUBSTITUTE(K41,"24小时保安","24hr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","")&amp;IF(L41&lt;&gt;"","💰 From RM "&amp;TEXT(L41,"#,##0")&amp;"
","")&amp;"
Is this still available? Thank you!","")</f>
        <v/>
      </c>
      <c r="AA41" s="31"/>
      <c r="AB41" s="33" t="str">
        <f aca="false">IF(D41&lt;&gt;"","Helo! Saya ingin membuat pertanyaan projek baru:
🏠 "&amp;Q41&amp;"
"&amp;IF(E41&lt;&gt;"","🛏 "&amp;E41&amp;"Bilik"&amp;IF(F41&lt;&gt;""," "&amp;F41&amp;"Bilik Air","")&amp;"
","")&amp;IF(G41&lt;&gt;"","📐 "&amp;G41&amp;" sqft
","")&amp;IF(H41&lt;&gt;"","🏊 "&amp;SUBSTITUTE(SUBSTITUTE(SUBSTITUTE(SUBSTITUTE(SUBSTITUTE(SUBSTITUTE(SUBSTITUTE(SUBSTITUTE(SUBSTITUTE(SUBSTITUTE(H41,"游泳池","Kolam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Kawalan"),""),"")&lt;&gt;"",IF(OR(I41&lt;&gt;"",J41&lt;&gt;"",K41&lt;&gt;""),"🔒 "&amp;IF(I41&lt;&gt;"",SUBSTITUTE(SUBSTITUTE(SUBSTITUTE(SUBSTITUTE(SUBSTITUTE(SUBSTITUTE(SUBSTITUTE(SUBSTITUTE(SUBSTITUTE(SUBSTITUTE(SUBSTITUTE(SUBSTITUTE(I41,"24小时保安","Pengawal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Kawalan"),"")&amp;IF(AND(I41&lt;&gt;"",OR(J41&lt;&gt;"",K41&lt;&gt;""))," · ","")&amp;IF(J41&lt;&gt;"",SUBSTITUTE(SUBSTITUTE(SUBSTITUTE(SUBSTITUTE(SUBSTITUTE(SUBSTITUTE(SUBSTITUTE(SUBSTITUTE(SUBSTITUTE(SUBSTITUTE(SUBSTITUTE(SUBSTITUTE(J41,"24小时保安","Pengawal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Kawalan"),"")&amp;IF(AND(J41&lt;&gt;"",K41&lt;&gt;"")," · ","")&amp;IF(K41&lt;&gt;"",SUBSTITUTE(SUBSTITUTE(SUBSTITUTE(SUBSTITUTE(SUBSTITUTE(SUBSTITUTE(SUBSTITUTE(SUBSTITUTE(SUBSTITUTE(SUBSTITUTE(SUBSTITUTE(SUBSTITUTE(K41,"24小时保安","Pengawal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","")&amp;IF(L41&lt;&gt;"","💰 Dari RM "&amp;TEXT(L41,"#,##0")&amp;"
","")&amp;"
Adakah masih tersedia? Terima kasih!","")</f>
        <v/>
      </c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9"/>
      <c r="J42" s="29"/>
      <c r="K42" s="29"/>
      <c r="L42" s="28"/>
      <c r="M42" s="30"/>
      <c r="N42" s="31" t="str">
        <f aca="false">IFERROR(ifs(B42="🏢 Condo 公寓","fa-building",B42="🏠 Apartment 单位","fa-home",B42="🌿 即租即住","fa-home",B42="🌿 近国际学校","fa-school",B42="📌 商业旺铺","fa-store",B42="🌟 海景豪宅","fa-water-ladder",B42="📈 投资优选","fa-chart-line",B42="🏞️ 花园住宅","fa-tree",B42="🌟 2026全新地标","fa-drafting-compass",B42="📈 海外投资优选","fa-globe",B42="🌆 核心地段","fa-city",B42="🔥 限时优惠","fa-fire",B42="✅ 永久产权","fa-certificate",B42="🏅 高回报","fa-medal",B42="🏖️ 度假胜地","fa-umbrella-beach",B42="🏫 学区优选","fa-graduation-cap",B42="🛣️ 交通便利","fa-road",B42="🔑 即买即住","fa-key"),"fa-home")</f>
        <v>fa-home</v>
      </c>
      <c r="O42" s="31" t="str">
        <f aca="false">IF(D42&lt;&gt;"",D42,"")</f>
        <v/>
      </c>
      <c r="P42" s="31" t="str">
        <f aca="false">IF(D42&lt;&gt;"",SUBSTITUTE(SUBSTITUTE(SUBSTITUTE(SUBSTITUTE(SUBSTITUTE(SUBSTITUTE(SUBSTITUTE(SUBSTITUTE(SUBSTITUTE(SUBSTITUTE(D42,"亚庇","Kota Kinabalu"),"公寓","Condo"),"排屋","Terrace"),"别墅","Villa"),"店铺","Shop"),"新山","Johor Bahru"),"市中心","City Centre"),"高级","Premium"),"单位","Unit"),"住宅","Residence"),"")</f>
        <v/>
      </c>
      <c r="Q42" s="31" t="str">
        <f aca="false">IF(D42&lt;&gt;"",SUBSTITUTE(SUBSTITUTE(SUBSTITUTE(SUBSTITUTE(SUBSTITUTE(SUBSTITUTE(SUBSTITUTE(SUBSTITUTE(SUBSTITUTE(SUBSTITUTE(D42,"亚庇","Kota Kinabalu"),"公寓","Kondominium"),"排屋","Rumah Teres"),"别墅","Vila"),"店铺","Kedai"),"新山","Johor Bahru"),"市中心","Pusat Bandar"),"高级","Premium"),"单位","Unit"),"住宅","Kediaman"),"")</f>
        <v/>
      </c>
      <c r="R42" s="31" t="str">
        <f aca="false">IF(D42&lt;&gt;"","📍 "&amp;IF(E42&lt;&gt;"",E42&amp;"房","")&amp;IF(F42&lt;&gt;"",F42&amp;"卫 ","")&amp;IF(G42&lt;&gt;"",G42&amp;" sqft","")&amp;IF(AND(OR(E42&lt;&gt;"",G42&lt;&gt;""),H42&lt;&gt;"")," · ","")&amp;IF(H42&lt;&gt;"",H42,""),"")</f>
        <v/>
      </c>
      <c r="S42" s="31" t="str">
        <f aca="false">IF(D42&lt;&gt;"","📍 "&amp;IF(E42&lt;&gt;"",E42&amp;"BR ","")&amp;IF(F42&lt;&gt;"",F42&amp;"BA ","")&amp;IF(G42&lt;&gt;"",G42&amp;" sqft","")&amp;IF(AND(OR(E42&lt;&gt;"",G42&lt;&gt;""),H42&lt;&gt;"")," · ","")&amp;IF(H42&lt;&gt;"",SUBSTITUTE(SUBSTITUTE(SUBSTITUTE(SUBSTITUTE(SUBSTITUTE(SUBSTITUTE(SUBSTITUTE(SUBSTITUTE(SUBSTITUTE(SUBSTITUTE(H42,"游泳池","Swimming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2" s="31" t="str">
        <f aca="false">IF(D42&lt;&gt;"","📍 "&amp;IF(E42&lt;&gt;"",E42&amp;"Bilik ","")&amp;IF(F42&lt;&gt;"",F42&amp;"Bilik Air ","")&amp;IF(G42&lt;&gt;"",G42&amp;" sqft","")&amp;IF(AND(OR(E42&lt;&gt;"",G42&lt;&gt;""),H42&lt;&gt;"")," · ","")&amp;IF(H42&lt;&gt;"",SUBSTITUTE(SUBSTITUTE(SUBSTITUTE(SUBSTITUTE(SUBSTITUTE(SUBSTITUTE(SUBSTITUTE(SUBSTITUTE(SUBSTITUTE(SUBSTITUTE(H42,"游泳池","Kolam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2" s="32" t="str">
        <f aca="false">IF(OR(I42&lt;&gt;"",J42&lt;&gt;"",K42&lt;&gt;""),"🔒 "&amp;IF(I42&lt;&gt;"",I42,"")&amp;IF(AND(I42&lt;&gt;"",J42&lt;&gt;"")," · ","")&amp;IF(J42&lt;&gt;"",J42,"")&amp;IF(AND(OR(I42&lt;&gt;"",J42&lt;&gt;""),K42&lt;&gt;"")," · ","")&amp;IF(K42&lt;&gt;"",K42,""),"")</f>
        <v/>
      </c>
      <c r="V42" s="31" t="str">
        <f aca="false">IF(L42&lt;&gt;"","💰 起价 RM "&amp;TEXT(L42,"#,##0"),"")</f>
        <v/>
      </c>
      <c r="W42" s="31" t="str">
        <f aca="false">IF(L42&lt;&gt;"","💰 From RM "&amp;TEXT(L42,"#,##0"),"")</f>
        <v/>
      </c>
      <c r="X42" s="31" t="str">
        <f aca="false">IF(L42&lt;&gt;"","💰 Dari RM "&amp;TEXT(L42,"#,##0"),"")</f>
        <v/>
      </c>
      <c r="Y42" s="33" t="str">
        <f aca="false">IF(D42&lt;&gt;"","您好！我想咨询新楼盘：
🏠 "&amp;D42&amp;"
"&amp;IF(E42&lt;&gt;"","🛏 "&amp;E42&amp;"房"&amp;IF(F42&lt;&gt;""," "&amp;F42&amp;"卫","")&amp;"
","")&amp;IF(G42&lt;&gt;"","📐 "&amp;G42&amp;" sqft
","")&amp;IF(H42&lt;&gt;"","🏊 "&amp;H42&amp;"
","")&amp;IF(U42&lt;&gt;"",U42&amp;"
","")&amp;IF(L42&lt;&gt;"","💰 起价 RM "&amp;TEXT(L42,"#,##0")&amp;"
","")&amp;"
请问还有空档吗？谢谢！","")</f>
        <v/>
      </c>
      <c r="Z42" s="33" t="str">
        <f aca="false">IF(D42&lt;&gt;"","Hi! I'd like to make a new launch enquiry:
🏠 "&amp;P42&amp;"
"&amp;IF(E42&lt;&gt;"","🛏 "&amp;E42&amp;"BR"&amp;IF(F42&lt;&gt;""," "&amp;F42&amp;"BA","")&amp;"
","")&amp;IF(G42&lt;&gt;"","📐 "&amp;G42&amp;" sqft
","")&amp;IF(H42&lt;&gt;"","🏊 "&amp;SUBSTITUTE(SUBSTITUTE(SUBSTITUTE(SUBSTITUTE(SUBSTITUTE(SUBSTITUTE(SUBSTITUTE(SUBSTITUTE(SUBSTITUTE(SUBSTITUTE(H42,"游泳池","Swimming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Control"),""),"")&lt;&gt;"",IF(OR(I42&lt;&gt;"",J42&lt;&gt;"",K42&lt;&gt;""),"🔒 "&amp;IF(I42&lt;&gt;"",SUBSTITUTE(SUBSTITUTE(SUBSTITUTE(SUBSTITUTE(SUBSTITUTE(SUBSTITUTE(SUBSTITUTE(SUBSTITUTE(SUBSTITUTE(SUBSTITUTE(SUBSTITUTE(SUBSTITUTE(I42,"24小时保安","24hr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Control"),"")&amp;IF(AND(I42&lt;&gt;"",OR(J42&lt;&gt;"",K42&lt;&gt;""))," · ","")&amp;IF(J42&lt;&gt;"",SUBSTITUTE(SUBSTITUTE(SUBSTITUTE(SUBSTITUTE(SUBSTITUTE(SUBSTITUTE(SUBSTITUTE(SUBSTITUTE(SUBSTITUTE(SUBSTITUTE(SUBSTITUTE(SUBSTITUTE(J42,"24小时保安","24hr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Control"),"")&amp;IF(AND(J42&lt;&gt;"",K42&lt;&gt;"")," · ","")&amp;IF(K42&lt;&gt;"",SUBSTITUTE(SUBSTITUTE(SUBSTITUTE(SUBSTITUTE(SUBSTITUTE(SUBSTITUTE(SUBSTITUTE(SUBSTITUTE(SUBSTITUTE(SUBSTITUTE(SUBSTITUTE(SUBSTITUTE(K42,"24小时保安","24hr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","")&amp;IF(L42&lt;&gt;"","💰 From RM "&amp;TEXT(L42,"#,##0")&amp;"
","")&amp;"
Is this still available? Thank you!","")</f>
        <v/>
      </c>
      <c r="AA42" s="31"/>
      <c r="AB42" s="33" t="str">
        <f aca="false">IF(D42&lt;&gt;"","Helo! Saya ingin membuat pertanyaan projek baru:
🏠 "&amp;Q42&amp;"
"&amp;IF(E42&lt;&gt;"","🛏 "&amp;E42&amp;"Bilik"&amp;IF(F42&lt;&gt;""," "&amp;F42&amp;"Bilik Air","")&amp;"
","")&amp;IF(G42&lt;&gt;"","📐 "&amp;G42&amp;" sqft
","")&amp;IF(H42&lt;&gt;"","🏊 "&amp;SUBSTITUTE(SUBSTITUTE(SUBSTITUTE(SUBSTITUTE(SUBSTITUTE(SUBSTITUTE(SUBSTITUTE(SUBSTITUTE(SUBSTITUTE(SUBSTITUTE(H42,"游泳池","Kolam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Kawalan"),""),"")&lt;&gt;"",IF(OR(I42&lt;&gt;"",J42&lt;&gt;"",K42&lt;&gt;""),"🔒 "&amp;IF(I42&lt;&gt;"",SUBSTITUTE(SUBSTITUTE(SUBSTITUTE(SUBSTITUTE(SUBSTITUTE(SUBSTITUTE(SUBSTITUTE(SUBSTITUTE(SUBSTITUTE(SUBSTITUTE(SUBSTITUTE(SUBSTITUTE(I42,"24小时保安","Pengawal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Kawalan"),"")&amp;IF(AND(I42&lt;&gt;"",OR(J42&lt;&gt;"",K42&lt;&gt;""))," · ","")&amp;IF(J42&lt;&gt;"",SUBSTITUTE(SUBSTITUTE(SUBSTITUTE(SUBSTITUTE(SUBSTITUTE(SUBSTITUTE(SUBSTITUTE(SUBSTITUTE(SUBSTITUTE(SUBSTITUTE(SUBSTITUTE(SUBSTITUTE(J42,"24小时保安","Pengawal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Kawalan"),"")&amp;IF(AND(J42&lt;&gt;"",K42&lt;&gt;"")," · ","")&amp;IF(K42&lt;&gt;"",SUBSTITUTE(SUBSTITUTE(SUBSTITUTE(SUBSTITUTE(SUBSTITUTE(SUBSTITUTE(SUBSTITUTE(SUBSTITUTE(SUBSTITUTE(SUBSTITUTE(SUBSTITUTE(SUBSTITUTE(K42,"24小时保安","Pengawal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","")&amp;IF(L42&lt;&gt;"","💰 Dari RM "&amp;TEXT(L42,"#,##0")&amp;"
","")&amp;"
Adakah masih tersedia? Terima kasih!","")</f>
        <v/>
      </c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9"/>
      <c r="J43" s="29"/>
      <c r="K43" s="29"/>
      <c r="L43" s="28"/>
      <c r="M43" s="30"/>
      <c r="N43" s="31" t="str">
        <f aca="false">IFERROR(ifs(B43="🏢 Condo 公寓","fa-building",B43="🏠 Apartment 单位","fa-home",B43="🌿 即租即住","fa-home",B43="🌿 近国际学校","fa-school",B43="📌 商业旺铺","fa-store",B43="🌟 海景豪宅","fa-water-ladder",B43="📈 投资优选","fa-chart-line",B43="🏞️ 花园住宅","fa-tree",B43="🌟 2026全新地标","fa-drafting-compass",B43="📈 海外投资优选","fa-globe",B43="🌆 核心地段","fa-city",B43="🔥 限时优惠","fa-fire",B43="✅ 永久产权","fa-certificate",B43="🏅 高回报","fa-medal",B43="🏖️ 度假胜地","fa-umbrella-beach",B43="🏫 学区优选","fa-graduation-cap",B43="🛣️ 交通便利","fa-road",B43="🔑 即买即住","fa-key"),"fa-home")</f>
        <v>fa-home</v>
      </c>
      <c r="O43" s="31" t="str">
        <f aca="false">IF(D43&lt;&gt;"",D43,"")</f>
        <v/>
      </c>
      <c r="P43" s="31" t="str">
        <f aca="false">IF(D43&lt;&gt;"",SUBSTITUTE(SUBSTITUTE(SUBSTITUTE(SUBSTITUTE(SUBSTITUTE(SUBSTITUTE(SUBSTITUTE(SUBSTITUTE(SUBSTITUTE(SUBSTITUTE(D43,"亚庇","Kota Kinabalu"),"公寓","Condo"),"排屋","Terrace"),"别墅","Villa"),"店铺","Shop"),"新山","Johor Bahru"),"市中心","City Centre"),"高级","Premium"),"单位","Unit"),"住宅","Residence"),"")</f>
        <v/>
      </c>
      <c r="Q43" s="31" t="str">
        <f aca="false">IF(D43&lt;&gt;"",SUBSTITUTE(SUBSTITUTE(SUBSTITUTE(SUBSTITUTE(SUBSTITUTE(SUBSTITUTE(SUBSTITUTE(SUBSTITUTE(SUBSTITUTE(SUBSTITUTE(D43,"亚庇","Kota Kinabalu"),"公寓","Kondominium"),"排屋","Rumah Teres"),"别墅","Vila"),"店铺","Kedai"),"新山","Johor Bahru"),"市中心","Pusat Bandar"),"高级","Premium"),"单位","Unit"),"住宅","Kediaman"),"")</f>
        <v/>
      </c>
      <c r="R43" s="31" t="str">
        <f aca="false">IF(D43&lt;&gt;"","📍 "&amp;IF(E43&lt;&gt;"",E43&amp;"房","")&amp;IF(F43&lt;&gt;"",F43&amp;"卫 ","")&amp;IF(G43&lt;&gt;"",G43&amp;" sqft","")&amp;IF(AND(OR(E43&lt;&gt;"",G43&lt;&gt;""),H43&lt;&gt;"")," · ","")&amp;IF(H43&lt;&gt;"",H43,""),"")</f>
        <v/>
      </c>
      <c r="S43" s="31" t="str">
        <f aca="false">IF(D43&lt;&gt;"","📍 "&amp;IF(E43&lt;&gt;"",E43&amp;"BR ","")&amp;IF(F43&lt;&gt;"",F43&amp;"BA ","")&amp;IF(G43&lt;&gt;"",G43&amp;" sqft","")&amp;IF(AND(OR(E43&lt;&gt;"",G43&lt;&gt;""),H43&lt;&gt;"")," · ","")&amp;IF(H43&lt;&gt;"",SUBSTITUTE(SUBSTITUTE(SUBSTITUTE(SUBSTITUTE(SUBSTITUTE(SUBSTITUTE(SUBSTITUTE(SUBSTITUTE(SUBSTITUTE(SUBSTITUTE(H43,"游泳池","Swimming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3" s="31" t="str">
        <f aca="false">IF(D43&lt;&gt;"","📍 "&amp;IF(E43&lt;&gt;"",E43&amp;"Bilik ","")&amp;IF(F43&lt;&gt;"",F43&amp;"Bilik Air ","")&amp;IF(G43&lt;&gt;"",G43&amp;" sqft","")&amp;IF(AND(OR(E43&lt;&gt;"",G43&lt;&gt;""),H43&lt;&gt;"")," · ","")&amp;IF(H43&lt;&gt;"",SUBSTITUTE(SUBSTITUTE(SUBSTITUTE(SUBSTITUTE(SUBSTITUTE(SUBSTITUTE(SUBSTITUTE(SUBSTITUTE(SUBSTITUTE(SUBSTITUTE(H43,"游泳池","Kolam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3" s="32" t="str">
        <f aca="false">IF(OR(I43&lt;&gt;"",J43&lt;&gt;"",K43&lt;&gt;""),"🔒 "&amp;IF(I43&lt;&gt;"",I43,"")&amp;IF(AND(I43&lt;&gt;"",J43&lt;&gt;"")," · ","")&amp;IF(J43&lt;&gt;"",J43,"")&amp;IF(AND(OR(I43&lt;&gt;"",J43&lt;&gt;""),K43&lt;&gt;"")," · ","")&amp;IF(K43&lt;&gt;"",K43,""),"")</f>
        <v/>
      </c>
      <c r="V43" s="31" t="str">
        <f aca="false">IF(L43&lt;&gt;"","💰 起价 RM "&amp;TEXT(L43,"#,##0"),"")</f>
        <v/>
      </c>
      <c r="W43" s="31" t="str">
        <f aca="false">IF(L43&lt;&gt;"","💰 From RM "&amp;TEXT(L43,"#,##0"),"")</f>
        <v/>
      </c>
      <c r="X43" s="31" t="str">
        <f aca="false">IF(L43&lt;&gt;"","💰 Dari RM "&amp;TEXT(L43,"#,##0"),"")</f>
        <v/>
      </c>
      <c r="Y43" s="33" t="str">
        <f aca="false">IF(D43&lt;&gt;"","您好！我想咨询新楼盘：
🏠 "&amp;D43&amp;"
"&amp;IF(E43&lt;&gt;"","🛏 "&amp;E43&amp;"房"&amp;IF(F43&lt;&gt;""," "&amp;F43&amp;"卫","")&amp;"
","")&amp;IF(G43&lt;&gt;"","📐 "&amp;G43&amp;" sqft
","")&amp;IF(H43&lt;&gt;"","🏊 "&amp;H43&amp;"
","")&amp;IF(U43&lt;&gt;"",U43&amp;"
","")&amp;IF(L43&lt;&gt;"","💰 起价 RM "&amp;TEXT(L43,"#,##0")&amp;"
","")&amp;"
请问还有空档吗？谢谢！","")</f>
        <v/>
      </c>
      <c r="Z43" s="33" t="str">
        <f aca="false">IF(D43&lt;&gt;"","Hi! I'd like to make a new launch enquiry:
🏠 "&amp;P43&amp;"
"&amp;IF(E43&lt;&gt;"","🛏 "&amp;E43&amp;"BR"&amp;IF(F43&lt;&gt;""," "&amp;F43&amp;"BA","")&amp;"
","")&amp;IF(G43&lt;&gt;"","📐 "&amp;G43&amp;" sqft
","")&amp;IF(H43&lt;&gt;"","🏊 "&amp;SUBSTITUTE(SUBSTITUTE(SUBSTITUTE(SUBSTITUTE(SUBSTITUTE(SUBSTITUTE(SUBSTITUTE(SUBSTITUTE(SUBSTITUTE(SUBSTITUTE(H43,"游泳池","Swimming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Control"),""),"")&lt;&gt;"",IF(OR(I43&lt;&gt;"",J43&lt;&gt;"",K43&lt;&gt;""),"🔒 "&amp;IF(I43&lt;&gt;"",SUBSTITUTE(SUBSTITUTE(SUBSTITUTE(SUBSTITUTE(SUBSTITUTE(SUBSTITUTE(SUBSTITUTE(SUBSTITUTE(SUBSTITUTE(SUBSTITUTE(SUBSTITUTE(SUBSTITUTE(I43,"24小时保安","24hr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Control"),"")&amp;IF(AND(I43&lt;&gt;"",OR(J43&lt;&gt;"",K43&lt;&gt;""))," · ","")&amp;IF(J43&lt;&gt;"",SUBSTITUTE(SUBSTITUTE(SUBSTITUTE(SUBSTITUTE(SUBSTITUTE(SUBSTITUTE(SUBSTITUTE(SUBSTITUTE(SUBSTITUTE(SUBSTITUTE(SUBSTITUTE(SUBSTITUTE(J43,"24小时保安","24hr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Control"),"")&amp;IF(AND(J43&lt;&gt;"",K43&lt;&gt;"")," · ","")&amp;IF(K43&lt;&gt;"",SUBSTITUTE(SUBSTITUTE(SUBSTITUTE(SUBSTITUTE(SUBSTITUTE(SUBSTITUTE(SUBSTITUTE(SUBSTITUTE(SUBSTITUTE(SUBSTITUTE(SUBSTITUTE(SUBSTITUTE(K43,"24小时保安","24hr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","")&amp;IF(L43&lt;&gt;"","💰 From RM "&amp;TEXT(L43,"#,##0")&amp;"
","")&amp;"
Is this still available? Thank you!","")</f>
        <v/>
      </c>
      <c r="AA43" s="31"/>
      <c r="AB43" s="33" t="str">
        <f aca="false">IF(D43&lt;&gt;"","Helo! Saya ingin membuat pertanyaan projek baru:
🏠 "&amp;Q43&amp;"
"&amp;IF(E43&lt;&gt;"","🛏 "&amp;E43&amp;"Bilik"&amp;IF(F43&lt;&gt;""," "&amp;F43&amp;"Bilik Air","")&amp;"
","")&amp;IF(G43&lt;&gt;"","📐 "&amp;G43&amp;" sqft
","")&amp;IF(H43&lt;&gt;"","🏊 "&amp;SUBSTITUTE(SUBSTITUTE(SUBSTITUTE(SUBSTITUTE(SUBSTITUTE(SUBSTITUTE(SUBSTITUTE(SUBSTITUTE(SUBSTITUTE(SUBSTITUTE(H43,"游泳池","Kolam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Kawalan"),""),"")&lt;&gt;"",IF(OR(I43&lt;&gt;"",J43&lt;&gt;"",K43&lt;&gt;""),"🔒 "&amp;IF(I43&lt;&gt;"",SUBSTITUTE(SUBSTITUTE(SUBSTITUTE(SUBSTITUTE(SUBSTITUTE(SUBSTITUTE(SUBSTITUTE(SUBSTITUTE(SUBSTITUTE(SUBSTITUTE(SUBSTITUTE(SUBSTITUTE(I43,"24小时保安","Pengawal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Kawalan"),"")&amp;IF(AND(I43&lt;&gt;"",OR(J43&lt;&gt;"",K43&lt;&gt;""))," · ","")&amp;IF(J43&lt;&gt;"",SUBSTITUTE(SUBSTITUTE(SUBSTITUTE(SUBSTITUTE(SUBSTITUTE(SUBSTITUTE(SUBSTITUTE(SUBSTITUTE(SUBSTITUTE(SUBSTITUTE(SUBSTITUTE(SUBSTITUTE(J43,"24小时保安","Pengawal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Kawalan"),"")&amp;IF(AND(J43&lt;&gt;"",K43&lt;&gt;"")," · ","")&amp;IF(K43&lt;&gt;"",SUBSTITUTE(SUBSTITUTE(SUBSTITUTE(SUBSTITUTE(SUBSTITUTE(SUBSTITUTE(SUBSTITUTE(SUBSTITUTE(SUBSTITUTE(SUBSTITUTE(SUBSTITUTE(SUBSTITUTE(K43,"24小时保安","Pengawal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","")&amp;IF(L43&lt;&gt;"","💰 Dari RM "&amp;TEXT(L43,"#,##0")&amp;"
","")&amp;"
Adakah masih tersedia? Terima kasih!","")</f>
        <v/>
      </c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9"/>
      <c r="J44" s="29"/>
      <c r="K44" s="29"/>
      <c r="L44" s="28"/>
      <c r="M44" s="30"/>
      <c r="N44" s="31" t="str">
        <f aca="false">IFERROR(ifs(B44="🏢 Condo 公寓","fa-building",B44="🏠 Apartment 单位","fa-home",B44="🌿 即租即住","fa-home",B44="🌿 近国际学校","fa-school",B44="📌 商业旺铺","fa-store",B44="🌟 海景豪宅","fa-water-ladder",B44="📈 投资优选","fa-chart-line",B44="🏞️ 花园住宅","fa-tree",B44="🌟 2026全新地标","fa-drafting-compass",B44="📈 海外投资优选","fa-globe",B44="🌆 核心地段","fa-city",B44="🔥 限时优惠","fa-fire",B44="✅ 永久产权","fa-certificate",B44="🏅 高回报","fa-medal",B44="🏖️ 度假胜地","fa-umbrella-beach",B44="🏫 学区优选","fa-graduation-cap",B44="🛣️ 交通便利","fa-road",B44="🔑 即买即住","fa-key"),"fa-home")</f>
        <v>fa-home</v>
      </c>
      <c r="O44" s="31" t="str">
        <f aca="false">IF(D44&lt;&gt;"",D44,"")</f>
        <v/>
      </c>
      <c r="P44" s="31" t="str">
        <f aca="false">IF(D44&lt;&gt;"",SUBSTITUTE(SUBSTITUTE(SUBSTITUTE(SUBSTITUTE(SUBSTITUTE(SUBSTITUTE(SUBSTITUTE(SUBSTITUTE(SUBSTITUTE(SUBSTITUTE(D44,"亚庇","Kota Kinabalu"),"公寓","Condo"),"排屋","Terrace"),"别墅","Villa"),"店铺","Shop"),"新山","Johor Bahru"),"市中心","City Centre"),"高级","Premium"),"单位","Unit"),"住宅","Residence"),"")</f>
        <v/>
      </c>
      <c r="Q44" s="31" t="str">
        <f aca="false">IF(D44&lt;&gt;"",SUBSTITUTE(SUBSTITUTE(SUBSTITUTE(SUBSTITUTE(SUBSTITUTE(SUBSTITUTE(SUBSTITUTE(SUBSTITUTE(SUBSTITUTE(SUBSTITUTE(D44,"亚庇","Kota Kinabalu"),"公寓","Kondominium"),"排屋","Rumah Teres"),"别墅","Vila"),"店铺","Kedai"),"新山","Johor Bahru"),"市中心","Pusat Bandar"),"高级","Premium"),"单位","Unit"),"住宅","Kediaman"),"")</f>
        <v/>
      </c>
      <c r="R44" s="31" t="str">
        <f aca="false">IF(D44&lt;&gt;"","📍 "&amp;IF(E44&lt;&gt;"",E44&amp;"房","")&amp;IF(F44&lt;&gt;"",F44&amp;"卫 ","")&amp;IF(G44&lt;&gt;"",G44&amp;" sqft","")&amp;IF(AND(OR(E44&lt;&gt;"",G44&lt;&gt;""),H44&lt;&gt;"")," · ","")&amp;IF(H44&lt;&gt;"",H44,""),"")</f>
        <v/>
      </c>
      <c r="S44" s="31" t="str">
        <f aca="false">IF(D44&lt;&gt;"","📍 "&amp;IF(E44&lt;&gt;"",E44&amp;"BR ","")&amp;IF(F44&lt;&gt;"",F44&amp;"BA ","")&amp;IF(G44&lt;&gt;"",G44&amp;" sqft","")&amp;IF(AND(OR(E44&lt;&gt;"",G44&lt;&gt;""),H44&lt;&gt;"")," · ","")&amp;IF(H44&lt;&gt;"",SUBSTITUTE(SUBSTITUTE(SUBSTITUTE(SUBSTITUTE(SUBSTITUTE(SUBSTITUTE(SUBSTITUTE(SUBSTITUTE(SUBSTITUTE(SUBSTITUTE(H44,"游泳池","Swimming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4" s="31" t="str">
        <f aca="false">IF(D44&lt;&gt;"","📍 "&amp;IF(E44&lt;&gt;"",E44&amp;"Bilik ","")&amp;IF(F44&lt;&gt;"",F44&amp;"Bilik Air ","")&amp;IF(G44&lt;&gt;"",G44&amp;" sqft","")&amp;IF(AND(OR(E44&lt;&gt;"",G44&lt;&gt;""),H44&lt;&gt;"")," · ","")&amp;IF(H44&lt;&gt;"",SUBSTITUTE(SUBSTITUTE(SUBSTITUTE(SUBSTITUTE(SUBSTITUTE(SUBSTITUTE(SUBSTITUTE(SUBSTITUTE(SUBSTITUTE(SUBSTITUTE(H44,"游泳池","Kolam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4" s="32" t="str">
        <f aca="false">IF(OR(I44&lt;&gt;"",J44&lt;&gt;"",K44&lt;&gt;""),"🔒 "&amp;IF(I44&lt;&gt;"",I44,"")&amp;IF(AND(I44&lt;&gt;"",J44&lt;&gt;"")," · ","")&amp;IF(J44&lt;&gt;"",J44,"")&amp;IF(AND(OR(I44&lt;&gt;"",J44&lt;&gt;""),K44&lt;&gt;"")," · ","")&amp;IF(K44&lt;&gt;"",K44,""),"")</f>
        <v/>
      </c>
      <c r="V44" s="31" t="str">
        <f aca="false">IF(L44&lt;&gt;"","💰 起价 RM "&amp;TEXT(L44,"#,##0"),"")</f>
        <v/>
      </c>
      <c r="W44" s="31" t="str">
        <f aca="false">IF(L44&lt;&gt;"","💰 From RM "&amp;TEXT(L44,"#,##0"),"")</f>
        <v/>
      </c>
      <c r="X44" s="31" t="str">
        <f aca="false">IF(L44&lt;&gt;"","💰 Dari RM "&amp;TEXT(L44,"#,##0"),"")</f>
        <v/>
      </c>
      <c r="Y44" s="33" t="str">
        <f aca="false">IF(D44&lt;&gt;"","您好！我想咨询新楼盘：
🏠 "&amp;D44&amp;"
"&amp;IF(E44&lt;&gt;"","🛏 "&amp;E44&amp;"房"&amp;IF(F44&lt;&gt;""," "&amp;F44&amp;"卫","")&amp;"
","")&amp;IF(G44&lt;&gt;"","📐 "&amp;G44&amp;" sqft
","")&amp;IF(H44&lt;&gt;"","🏊 "&amp;H44&amp;"
","")&amp;IF(U44&lt;&gt;"",U44&amp;"
","")&amp;IF(L44&lt;&gt;"","💰 起价 RM "&amp;TEXT(L44,"#,##0")&amp;"
","")&amp;"
请问还有空档吗？谢谢！","")</f>
        <v/>
      </c>
      <c r="Z44" s="33" t="str">
        <f aca="false">IF(D44&lt;&gt;"","Hi! I'd like to make a new launch enquiry:
🏠 "&amp;P44&amp;"
"&amp;IF(E44&lt;&gt;"","🛏 "&amp;E44&amp;"BR"&amp;IF(F44&lt;&gt;""," "&amp;F44&amp;"BA","")&amp;"
","")&amp;IF(G44&lt;&gt;"","📐 "&amp;G44&amp;" sqft
","")&amp;IF(H44&lt;&gt;"","🏊 "&amp;SUBSTITUTE(SUBSTITUTE(SUBSTITUTE(SUBSTITUTE(SUBSTITUTE(SUBSTITUTE(SUBSTITUTE(SUBSTITUTE(SUBSTITUTE(SUBSTITUTE(H44,"游泳池","Swimming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Control"),""),"")&lt;&gt;"",IF(OR(I44&lt;&gt;"",J44&lt;&gt;"",K44&lt;&gt;""),"🔒 "&amp;IF(I44&lt;&gt;"",SUBSTITUTE(SUBSTITUTE(SUBSTITUTE(SUBSTITUTE(SUBSTITUTE(SUBSTITUTE(SUBSTITUTE(SUBSTITUTE(SUBSTITUTE(SUBSTITUTE(SUBSTITUTE(SUBSTITUTE(I44,"24小时保安","24hr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Control"),"")&amp;IF(AND(I44&lt;&gt;"",OR(J44&lt;&gt;"",K44&lt;&gt;""))," · ","")&amp;IF(J44&lt;&gt;"",SUBSTITUTE(SUBSTITUTE(SUBSTITUTE(SUBSTITUTE(SUBSTITUTE(SUBSTITUTE(SUBSTITUTE(SUBSTITUTE(SUBSTITUTE(SUBSTITUTE(SUBSTITUTE(SUBSTITUTE(J44,"24小时保安","24hr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Control"),"")&amp;IF(AND(J44&lt;&gt;"",K44&lt;&gt;"")," · ","")&amp;IF(K44&lt;&gt;"",SUBSTITUTE(SUBSTITUTE(SUBSTITUTE(SUBSTITUTE(SUBSTITUTE(SUBSTITUTE(SUBSTITUTE(SUBSTITUTE(SUBSTITUTE(SUBSTITUTE(SUBSTITUTE(SUBSTITUTE(K44,"24小时保安","24hr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","")&amp;IF(L44&lt;&gt;"","💰 From RM "&amp;TEXT(L44,"#,##0")&amp;"
","")&amp;"
Is this still available? Thank you!","")</f>
        <v/>
      </c>
      <c r="AA44" s="31"/>
      <c r="AB44" s="33" t="str">
        <f aca="false">IF(D44&lt;&gt;"","Helo! Saya ingin membuat pertanyaan projek baru:
🏠 "&amp;Q44&amp;"
"&amp;IF(E44&lt;&gt;"","🛏 "&amp;E44&amp;"Bilik"&amp;IF(F44&lt;&gt;""," "&amp;F44&amp;"Bilik Air","")&amp;"
","")&amp;IF(G44&lt;&gt;"","📐 "&amp;G44&amp;" sqft
","")&amp;IF(H44&lt;&gt;"","🏊 "&amp;SUBSTITUTE(SUBSTITUTE(SUBSTITUTE(SUBSTITUTE(SUBSTITUTE(SUBSTITUTE(SUBSTITUTE(SUBSTITUTE(SUBSTITUTE(SUBSTITUTE(H44,"游泳池","Kolam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Kawalan"),""),"")&lt;&gt;"",IF(OR(I44&lt;&gt;"",J44&lt;&gt;"",K44&lt;&gt;""),"🔒 "&amp;IF(I44&lt;&gt;"",SUBSTITUTE(SUBSTITUTE(SUBSTITUTE(SUBSTITUTE(SUBSTITUTE(SUBSTITUTE(SUBSTITUTE(SUBSTITUTE(SUBSTITUTE(SUBSTITUTE(SUBSTITUTE(SUBSTITUTE(I44,"24小时保安","Pengawal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Kawalan"),"")&amp;IF(AND(I44&lt;&gt;"",OR(J44&lt;&gt;"",K44&lt;&gt;""))," · ","")&amp;IF(J44&lt;&gt;"",SUBSTITUTE(SUBSTITUTE(SUBSTITUTE(SUBSTITUTE(SUBSTITUTE(SUBSTITUTE(SUBSTITUTE(SUBSTITUTE(SUBSTITUTE(SUBSTITUTE(SUBSTITUTE(SUBSTITUTE(J44,"24小时保安","Pengawal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Kawalan"),"")&amp;IF(AND(J44&lt;&gt;"",K44&lt;&gt;"")," · ","")&amp;IF(K44&lt;&gt;"",SUBSTITUTE(SUBSTITUTE(SUBSTITUTE(SUBSTITUTE(SUBSTITUTE(SUBSTITUTE(SUBSTITUTE(SUBSTITUTE(SUBSTITUTE(SUBSTITUTE(SUBSTITUTE(SUBSTITUTE(K44,"24小时保安","Pengawal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","")&amp;IF(L44&lt;&gt;"","💰 Dari RM "&amp;TEXT(L44,"#,##0")&amp;"
","")&amp;"
Adakah masih tersedia? Terima kasih!","")</f>
        <v/>
      </c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9"/>
      <c r="J45" s="29"/>
      <c r="K45" s="29"/>
      <c r="L45" s="28"/>
      <c r="M45" s="30"/>
      <c r="N45" s="31" t="str">
        <f aca="false">IFERROR(ifs(B45="🏢 Condo 公寓","fa-building",B45="🏠 Apartment 单位","fa-home",B45="🌿 即租即住","fa-home",B45="🌿 近国际学校","fa-school",B45="📌 商业旺铺","fa-store",B45="🌟 海景豪宅","fa-water-ladder",B45="📈 投资优选","fa-chart-line",B45="🏞️ 花园住宅","fa-tree",B45="🌟 2026全新地标","fa-drafting-compass",B45="📈 海外投资优选","fa-globe",B45="🌆 核心地段","fa-city",B45="🔥 限时优惠","fa-fire",B45="✅ 永久产权","fa-certificate",B45="🏅 高回报","fa-medal",B45="🏖️ 度假胜地","fa-umbrella-beach",B45="🏫 学区优选","fa-graduation-cap",B45="🛣️ 交通便利","fa-road",B45="🔑 即买即住","fa-key"),"fa-home")</f>
        <v>fa-home</v>
      </c>
      <c r="O45" s="31" t="str">
        <f aca="false">IF(D45&lt;&gt;"",D45,"")</f>
        <v/>
      </c>
      <c r="P45" s="31" t="str">
        <f aca="false">IF(D45&lt;&gt;"",SUBSTITUTE(SUBSTITUTE(SUBSTITUTE(SUBSTITUTE(SUBSTITUTE(SUBSTITUTE(SUBSTITUTE(SUBSTITUTE(SUBSTITUTE(SUBSTITUTE(D45,"亚庇","Kota Kinabalu"),"公寓","Condo"),"排屋","Terrace"),"别墅","Villa"),"店铺","Shop"),"新山","Johor Bahru"),"市中心","City Centre"),"高级","Premium"),"单位","Unit"),"住宅","Residence"),"")</f>
        <v/>
      </c>
      <c r="Q45" s="31" t="str">
        <f aca="false">IF(D45&lt;&gt;"",SUBSTITUTE(SUBSTITUTE(SUBSTITUTE(SUBSTITUTE(SUBSTITUTE(SUBSTITUTE(SUBSTITUTE(SUBSTITUTE(SUBSTITUTE(SUBSTITUTE(D45,"亚庇","Kota Kinabalu"),"公寓","Kondominium"),"排屋","Rumah Teres"),"别墅","Vila"),"店铺","Kedai"),"新山","Johor Bahru"),"市中心","Pusat Bandar"),"高级","Premium"),"单位","Unit"),"住宅","Kediaman"),"")</f>
        <v/>
      </c>
      <c r="R45" s="31" t="str">
        <f aca="false">IF(D45&lt;&gt;"","📍 "&amp;IF(E45&lt;&gt;"",E45&amp;"房","")&amp;IF(F45&lt;&gt;"",F45&amp;"卫 ","")&amp;IF(G45&lt;&gt;"",G45&amp;" sqft","")&amp;IF(AND(OR(E45&lt;&gt;"",G45&lt;&gt;""),H45&lt;&gt;"")," · ","")&amp;IF(H45&lt;&gt;"",H45,""),"")</f>
        <v/>
      </c>
      <c r="S45" s="31" t="str">
        <f aca="false">IF(D45&lt;&gt;"","📍 "&amp;IF(E45&lt;&gt;"",E45&amp;"BR ","")&amp;IF(F45&lt;&gt;"",F45&amp;"BA ","")&amp;IF(G45&lt;&gt;"",G45&amp;" sqft","")&amp;IF(AND(OR(E45&lt;&gt;"",G45&lt;&gt;""),H45&lt;&gt;"")," · ","")&amp;IF(H45&lt;&gt;"",SUBSTITUTE(SUBSTITUTE(SUBSTITUTE(SUBSTITUTE(SUBSTITUTE(SUBSTITUTE(SUBSTITUTE(SUBSTITUTE(SUBSTITUTE(SUBSTITUTE(H45,"游泳池","Swimming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5" s="31" t="str">
        <f aca="false">IF(D45&lt;&gt;"","📍 "&amp;IF(E45&lt;&gt;"",E45&amp;"Bilik ","")&amp;IF(F45&lt;&gt;"",F45&amp;"Bilik Air ","")&amp;IF(G45&lt;&gt;"",G45&amp;" sqft","")&amp;IF(AND(OR(E45&lt;&gt;"",G45&lt;&gt;""),H45&lt;&gt;"")," · ","")&amp;IF(H45&lt;&gt;"",SUBSTITUTE(SUBSTITUTE(SUBSTITUTE(SUBSTITUTE(SUBSTITUTE(SUBSTITUTE(SUBSTITUTE(SUBSTITUTE(SUBSTITUTE(SUBSTITUTE(H45,"游泳池","Kolam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5" s="32" t="str">
        <f aca="false">IF(OR(I45&lt;&gt;"",J45&lt;&gt;"",K45&lt;&gt;""),"🔒 "&amp;IF(I45&lt;&gt;"",I45,"")&amp;IF(AND(I45&lt;&gt;"",J45&lt;&gt;"")," · ","")&amp;IF(J45&lt;&gt;"",J45,"")&amp;IF(AND(OR(I45&lt;&gt;"",J45&lt;&gt;""),K45&lt;&gt;"")," · ","")&amp;IF(K45&lt;&gt;"",K45,""),"")</f>
        <v/>
      </c>
      <c r="V45" s="31" t="str">
        <f aca="false">IF(L45&lt;&gt;"","💰 起价 RM "&amp;TEXT(L45,"#,##0"),"")</f>
        <v/>
      </c>
      <c r="W45" s="31" t="str">
        <f aca="false">IF(L45&lt;&gt;"","💰 From RM "&amp;TEXT(L45,"#,##0"),"")</f>
        <v/>
      </c>
      <c r="X45" s="31" t="str">
        <f aca="false">IF(L45&lt;&gt;"","💰 Dari RM "&amp;TEXT(L45,"#,##0"),"")</f>
        <v/>
      </c>
      <c r="Y45" s="33" t="str">
        <f aca="false">IF(D45&lt;&gt;"","您好！我想咨询新楼盘：
🏠 "&amp;D45&amp;"
"&amp;IF(E45&lt;&gt;"","🛏 "&amp;E45&amp;"房"&amp;IF(F45&lt;&gt;""," "&amp;F45&amp;"卫","")&amp;"
","")&amp;IF(G45&lt;&gt;"","📐 "&amp;G45&amp;" sqft
","")&amp;IF(H45&lt;&gt;"","🏊 "&amp;H45&amp;"
","")&amp;IF(U45&lt;&gt;"",U45&amp;"
","")&amp;IF(L45&lt;&gt;"","💰 起价 RM "&amp;TEXT(L45,"#,##0")&amp;"
","")&amp;"
请问还有空档吗？谢谢！","")</f>
        <v/>
      </c>
      <c r="Z45" s="33" t="str">
        <f aca="false">IF(D45&lt;&gt;"","Hi! I'd like to make a new launch enquiry:
🏠 "&amp;P45&amp;"
"&amp;IF(E45&lt;&gt;"","🛏 "&amp;E45&amp;"BR"&amp;IF(F45&lt;&gt;""," "&amp;F45&amp;"BA","")&amp;"
","")&amp;IF(G45&lt;&gt;"","📐 "&amp;G45&amp;" sqft
","")&amp;IF(H45&lt;&gt;"","🏊 "&amp;SUBSTITUTE(SUBSTITUTE(SUBSTITUTE(SUBSTITUTE(SUBSTITUTE(SUBSTITUTE(SUBSTITUTE(SUBSTITUTE(SUBSTITUTE(SUBSTITUTE(H45,"游泳池","Swimming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Control"),""),"")&lt;&gt;"",IF(OR(I45&lt;&gt;"",J45&lt;&gt;"",K45&lt;&gt;""),"🔒 "&amp;IF(I45&lt;&gt;"",SUBSTITUTE(SUBSTITUTE(SUBSTITUTE(SUBSTITUTE(SUBSTITUTE(SUBSTITUTE(SUBSTITUTE(SUBSTITUTE(SUBSTITUTE(SUBSTITUTE(SUBSTITUTE(SUBSTITUTE(I45,"24小时保安","24hr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Control"),"")&amp;IF(AND(I45&lt;&gt;"",OR(J45&lt;&gt;"",K45&lt;&gt;""))," · ","")&amp;IF(J45&lt;&gt;"",SUBSTITUTE(SUBSTITUTE(SUBSTITUTE(SUBSTITUTE(SUBSTITUTE(SUBSTITUTE(SUBSTITUTE(SUBSTITUTE(SUBSTITUTE(SUBSTITUTE(SUBSTITUTE(SUBSTITUTE(J45,"24小时保安","24hr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Control"),"")&amp;IF(AND(J45&lt;&gt;"",K45&lt;&gt;"")," · ","")&amp;IF(K45&lt;&gt;"",SUBSTITUTE(SUBSTITUTE(SUBSTITUTE(SUBSTITUTE(SUBSTITUTE(SUBSTITUTE(SUBSTITUTE(SUBSTITUTE(SUBSTITUTE(SUBSTITUTE(SUBSTITUTE(SUBSTITUTE(K45,"24小时保安","24hr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","")&amp;IF(L45&lt;&gt;"","💰 From RM "&amp;TEXT(L45,"#,##0")&amp;"
","")&amp;"
Is this still available? Thank you!","")</f>
        <v/>
      </c>
      <c r="AA45" s="31"/>
      <c r="AB45" s="33" t="str">
        <f aca="false">IF(D45&lt;&gt;"","Helo! Saya ingin membuat pertanyaan projek baru:
🏠 "&amp;Q45&amp;"
"&amp;IF(E45&lt;&gt;"","🛏 "&amp;E45&amp;"Bilik"&amp;IF(F45&lt;&gt;""," "&amp;F45&amp;"Bilik Air","")&amp;"
","")&amp;IF(G45&lt;&gt;"","📐 "&amp;G45&amp;" sqft
","")&amp;IF(H45&lt;&gt;"","🏊 "&amp;SUBSTITUTE(SUBSTITUTE(SUBSTITUTE(SUBSTITUTE(SUBSTITUTE(SUBSTITUTE(SUBSTITUTE(SUBSTITUTE(SUBSTITUTE(SUBSTITUTE(H45,"游泳池","Kolam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Kawalan"),""),"")&lt;&gt;"",IF(OR(I45&lt;&gt;"",J45&lt;&gt;"",K45&lt;&gt;""),"🔒 "&amp;IF(I45&lt;&gt;"",SUBSTITUTE(SUBSTITUTE(SUBSTITUTE(SUBSTITUTE(SUBSTITUTE(SUBSTITUTE(SUBSTITUTE(SUBSTITUTE(SUBSTITUTE(SUBSTITUTE(SUBSTITUTE(SUBSTITUTE(I45,"24小时保安","Pengawal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Kawalan"),"")&amp;IF(AND(I45&lt;&gt;"",OR(J45&lt;&gt;"",K45&lt;&gt;""))," · ","")&amp;IF(J45&lt;&gt;"",SUBSTITUTE(SUBSTITUTE(SUBSTITUTE(SUBSTITUTE(SUBSTITUTE(SUBSTITUTE(SUBSTITUTE(SUBSTITUTE(SUBSTITUTE(SUBSTITUTE(SUBSTITUTE(SUBSTITUTE(J45,"24小时保安","Pengawal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Kawalan"),"")&amp;IF(AND(J45&lt;&gt;"",K45&lt;&gt;"")," · ","")&amp;IF(K45&lt;&gt;"",SUBSTITUTE(SUBSTITUTE(SUBSTITUTE(SUBSTITUTE(SUBSTITUTE(SUBSTITUTE(SUBSTITUTE(SUBSTITUTE(SUBSTITUTE(SUBSTITUTE(SUBSTITUTE(SUBSTITUTE(K45,"24小时保安","Pengawal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","")&amp;IF(L45&lt;&gt;"","💰 Dari RM "&amp;TEXT(L45,"#,##0")&amp;"
","")&amp;"
Adakah masih tersedia? Terima kasih!","")</f>
        <v/>
      </c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9"/>
      <c r="J46" s="29"/>
      <c r="K46" s="29"/>
      <c r="L46" s="28"/>
      <c r="M46" s="30"/>
      <c r="N46" s="31" t="str">
        <f aca="false">IFERROR(ifs(B46="🏢 Condo 公寓","fa-building",B46="🏠 Apartment 单位","fa-home",B46="🌿 即租即住","fa-home",B46="🌿 近国际学校","fa-school",B46="📌 商业旺铺","fa-store",B46="🌟 海景豪宅","fa-water-ladder",B46="📈 投资优选","fa-chart-line",B46="🏞️ 花园住宅","fa-tree",B46="🌟 2026全新地标","fa-drafting-compass",B46="📈 海外投资优选","fa-globe",B46="🌆 核心地段","fa-city",B46="🔥 限时优惠","fa-fire",B46="✅ 永久产权","fa-certificate",B46="🏅 高回报","fa-medal",B46="🏖️ 度假胜地","fa-umbrella-beach",B46="🏫 学区优选","fa-graduation-cap",B46="🛣️ 交通便利","fa-road",B46="🔑 即买即住","fa-key"),"fa-home")</f>
        <v>fa-home</v>
      </c>
      <c r="O46" s="31" t="str">
        <f aca="false">IF(D46&lt;&gt;"",D46,"")</f>
        <v/>
      </c>
      <c r="P46" s="31" t="str">
        <f aca="false">IF(D46&lt;&gt;"",SUBSTITUTE(SUBSTITUTE(SUBSTITUTE(SUBSTITUTE(SUBSTITUTE(SUBSTITUTE(SUBSTITUTE(SUBSTITUTE(SUBSTITUTE(SUBSTITUTE(D46,"亚庇","Kota Kinabalu"),"公寓","Condo"),"排屋","Terrace"),"别墅","Villa"),"店铺","Shop"),"新山","Johor Bahru"),"市中心","City Centre"),"高级","Premium"),"单位","Unit"),"住宅","Residence"),"")</f>
        <v/>
      </c>
      <c r="Q46" s="31" t="str">
        <f aca="false">IF(D46&lt;&gt;"",SUBSTITUTE(SUBSTITUTE(SUBSTITUTE(SUBSTITUTE(SUBSTITUTE(SUBSTITUTE(SUBSTITUTE(SUBSTITUTE(SUBSTITUTE(SUBSTITUTE(D46,"亚庇","Kota Kinabalu"),"公寓","Kondominium"),"排屋","Rumah Teres"),"别墅","Vila"),"店铺","Kedai"),"新山","Johor Bahru"),"市中心","Pusat Bandar"),"高级","Premium"),"单位","Unit"),"住宅","Kediaman"),"")</f>
        <v/>
      </c>
      <c r="R46" s="31" t="str">
        <f aca="false">IF(D46&lt;&gt;"","📍 "&amp;IF(E46&lt;&gt;"",E46&amp;"房","")&amp;IF(F46&lt;&gt;"",F46&amp;"卫 ","")&amp;IF(G46&lt;&gt;"",G46&amp;" sqft","")&amp;IF(AND(OR(E46&lt;&gt;"",G46&lt;&gt;""),H46&lt;&gt;"")," · ","")&amp;IF(H46&lt;&gt;"",H46,""),"")</f>
        <v/>
      </c>
      <c r="S46" s="31" t="str">
        <f aca="false">IF(D46&lt;&gt;"","📍 "&amp;IF(E46&lt;&gt;"",E46&amp;"BR ","")&amp;IF(F46&lt;&gt;"",F46&amp;"BA ","")&amp;IF(G46&lt;&gt;"",G46&amp;" sqft","")&amp;IF(AND(OR(E46&lt;&gt;"",G46&lt;&gt;""),H46&lt;&gt;"")," · ","")&amp;IF(H46&lt;&gt;"",SUBSTITUTE(SUBSTITUTE(SUBSTITUTE(SUBSTITUTE(SUBSTITUTE(SUBSTITUTE(SUBSTITUTE(SUBSTITUTE(SUBSTITUTE(SUBSTITUTE(H46,"游泳池","Swimming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6" s="31" t="str">
        <f aca="false">IF(D46&lt;&gt;"","📍 "&amp;IF(E46&lt;&gt;"",E46&amp;"Bilik ","")&amp;IF(F46&lt;&gt;"",F46&amp;"Bilik Air ","")&amp;IF(G46&lt;&gt;"",G46&amp;" sqft","")&amp;IF(AND(OR(E46&lt;&gt;"",G46&lt;&gt;""),H46&lt;&gt;"")," · ","")&amp;IF(H46&lt;&gt;"",SUBSTITUTE(SUBSTITUTE(SUBSTITUTE(SUBSTITUTE(SUBSTITUTE(SUBSTITUTE(SUBSTITUTE(SUBSTITUTE(SUBSTITUTE(SUBSTITUTE(H46,"游泳池","Kolam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6" s="32" t="str">
        <f aca="false">IF(OR(I46&lt;&gt;"",J46&lt;&gt;"",K46&lt;&gt;""),"🔒 "&amp;IF(I46&lt;&gt;"",I46,"")&amp;IF(AND(I46&lt;&gt;"",J46&lt;&gt;"")," · ","")&amp;IF(J46&lt;&gt;"",J46,"")&amp;IF(AND(OR(I46&lt;&gt;"",J46&lt;&gt;""),K46&lt;&gt;"")," · ","")&amp;IF(K46&lt;&gt;"",K46,""),"")</f>
        <v/>
      </c>
      <c r="V46" s="31" t="str">
        <f aca="false">IF(L46&lt;&gt;"","💰 起价 RM "&amp;TEXT(L46,"#,##0"),"")</f>
        <v/>
      </c>
      <c r="W46" s="31" t="str">
        <f aca="false">IF(L46&lt;&gt;"","💰 From RM "&amp;TEXT(L46,"#,##0"),"")</f>
        <v/>
      </c>
      <c r="X46" s="31" t="str">
        <f aca="false">IF(L46&lt;&gt;"","💰 Dari RM "&amp;TEXT(L46,"#,##0"),"")</f>
        <v/>
      </c>
      <c r="Y46" s="33" t="str">
        <f aca="false">IF(D46&lt;&gt;"","您好！我想咨询新楼盘：
🏠 "&amp;D46&amp;"
"&amp;IF(E46&lt;&gt;"","🛏 "&amp;E46&amp;"房"&amp;IF(F46&lt;&gt;""," "&amp;F46&amp;"卫","")&amp;"
","")&amp;IF(G46&lt;&gt;"","📐 "&amp;G46&amp;" sqft
","")&amp;IF(H46&lt;&gt;"","🏊 "&amp;H46&amp;"
","")&amp;IF(U46&lt;&gt;"",U46&amp;"
","")&amp;IF(L46&lt;&gt;"","💰 起价 RM "&amp;TEXT(L46,"#,##0")&amp;"
","")&amp;"
请问还有空档吗？谢谢！","")</f>
        <v/>
      </c>
      <c r="Z46" s="33" t="str">
        <f aca="false">IF(D46&lt;&gt;"","Hi! I'd like to make a new launch enquiry:
🏠 "&amp;P46&amp;"
"&amp;IF(E46&lt;&gt;"","🛏 "&amp;E46&amp;"BR"&amp;IF(F46&lt;&gt;""," "&amp;F46&amp;"BA","")&amp;"
","")&amp;IF(G46&lt;&gt;"","📐 "&amp;G46&amp;" sqft
","")&amp;IF(H46&lt;&gt;"","🏊 "&amp;SUBSTITUTE(SUBSTITUTE(SUBSTITUTE(SUBSTITUTE(SUBSTITUTE(SUBSTITUTE(SUBSTITUTE(SUBSTITUTE(SUBSTITUTE(SUBSTITUTE(H46,"游泳池","Swimming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Control"),""),"")&lt;&gt;"",IF(OR(I46&lt;&gt;"",J46&lt;&gt;"",K46&lt;&gt;""),"🔒 "&amp;IF(I46&lt;&gt;"",SUBSTITUTE(SUBSTITUTE(SUBSTITUTE(SUBSTITUTE(SUBSTITUTE(SUBSTITUTE(SUBSTITUTE(SUBSTITUTE(SUBSTITUTE(SUBSTITUTE(SUBSTITUTE(SUBSTITUTE(I46,"24小时保安","24hr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Control"),"")&amp;IF(AND(I46&lt;&gt;"",OR(J46&lt;&gt;"",K46&lt;&gt;""))," · ","")&amp;IF(J46&lt;&gt;"",SUBSTITUTE(SUBSTITUTE(SUBSTITUTE(SUBSTITUTE(SUBSTITUTE(SUBSTITUTE(SUBSTITUTE(SUBSTITUTE(SUBSTITUTE(SUBSTITUTE(SUBSTITUTE(SUBSTITUTE(J46,"24小时保安","24hr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Control"),"")&amp;IF(AND(J46&lt;&gt;"",K46&lt;&gt;"")," · ","")&amp;IF(K46&lt;&gt;"",SUBSTITUTE(SUBSTITUTE(SUBSTITUTE(SUBSTITUTE(SUBSTITUTE(SUBSTITUTE(SUBSTITUTE(SUBSTITUTE(SUBSTITUTE(SUBSTITUTE(SUBSTITUTE(SUBSTITUTE(K46,"24小时保安","24hr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","")&amp;IF(L46&lt;&gt;"","💰 From RM "&amp;TEXT(L46,"#,##0")&amp;"
","")&amp;"
Is this still available? Thank you!","")</f>
        <v/>
      </c>
      <c r="AA46" s="31"/>
      <c r="AB46" s="33" t="str">
        <f aca="false">IF(D46&lt;&gt;"","Helo! Saya ingin membuat pertanyaan projek baru:
🏠 "&amp;Q46&amp;"
"&amp;IF(E46&lt;&gt;"","🛏 "&amp;E46&amp;"Bilik"&amp;IF(F46&lt;&gt;""," "&amp;F46&amp;"Bilik Air","")&amp;"
","")&amp;IF(G46&lt;&gt;"","📐 "&amp;G46&amp;" sqft
","")&amp;IF(H46&lt;&gt;"","🏊 "&amp;SUBSTITUTE(SUBSTITUTE(SUBSTITUTE(SUBSTITUTE(SUBSTITUTE(SUBSTITUTE(SUBSTITUTE(SUBSTITUTE(SUBSTITUTE(SUBSTITUTE(H46,"游泳池","Kolam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Kawalan"),""),"")&lt;&gt;"",IF(OR(I46&lt;&gt;"",J46&lt;&gt;"",K46&lt;&gt;""),"🔒 "&amp;IF(I46&lt;&gt;"",SUBSTITUTE(SUBSTITUTE(SUBSTITUTE(SUBSTITUTE(SUBSTITUTE(SUBSTITUTE(SUBSTITUTE(SUBSTITUTE(SUBSTITUTE(SUBSTITUTE(SUBSTITUTE(SUBSTITUTE(I46,"24小时保安","Pengawal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Kawalan"),"")&amp;IF(AND(I46&lt;&gt;"",OR(J46&lt;&gt;"",K46&lt;&gt;""))," · ","")&amp;IF(J46&lt;&gt;"",SUBSTITUTE(SUBSTITUTE(SUBSTITUTE(SUBSTITUTE(SUBSTITUTE(SUBSTITUTE(SUBSTITUTE(SUBSTITUTE(SUBSTITUTE(SUBSTITUTE(SUBSTITUTE(SUBSTITUTE(J46,"24小时保安","Pengawal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Kawalan"),"")&amp;IF(AND(J46&lt;&gt;"",K46&lt;&gt;"")," · ","")&amp;IF(K46&lt;&gt;"",SUBSTITUTE(SUBSTITUTE(SUBSTITUTE(SUBSTITUTE(SUBSTITUTE(SUBSTITUTE(SUBSTITUTE(SUBSTITUTE(SUBSTITUTE(SUBSTITUTE(SUBSTITUTE(SUBSTITUTE(K46,"24小时保安","Pengawal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","")&amp;IF(L46&lt;&gt;"","💰 Dari RM "&amp;TEXT(L46,"#,##0")&amp;"
","")&amp;"
Adakah masih tersedia? Terima kasih!","")</f>
        <v/>
      </c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9"/>
      <c r="J47" s="29"/>
      <c r="K47" s="29"/>
      <c r="L47" s="28"/>
      <c r="M47" s="30"/>
      <c r="N47" s="31" t="str">
        <f aca="false">IFERROR(ifs(B47="🏢 Condo 公寓","fa-building",B47="🏠 Apartment 单位","fa-home",B47="🌿 即租即住","fa-home",B47="🌿 近国际学校","fa-school",B47="📌 商业旺铺","fa-store",B47="🌟 海景豪宅","fa-water-ladder",B47="📈 投资优选","fa-chart-line",B47="🏞️ 花园住宅","fa-tree",B47="🌟 2026全新地标","fa-drafting-compass",B47="📈 海外投资优选","fa-globe",B47="🌆 核心地段","fa-city",B47="🔥 限时优惠","fa-fire",B47="✅ 永久产权","fa-certificate",B47="🏅 高回报","fa-medal",B47="🏖️ 度假胜地","fa-umbrella-beach",B47="🏫 学区优选","fa-graduation-cap",B47="🛣️ 交通便利","fa-road",B47="🔑 即买即住","fa-key"),"fa-home")</f>
        <v>fa-home</v>
      </c>
      <c r="O47" s="31" t="str">
        <f aca="false">IF(D47&lt;&gt;"",D47,"")</f>
        <v/>
      </c>
      <c r="P47" s="31" t="str">
        <f aca="false">IF(D47&lt;&gt;"",SUBSTITUTE(SUBSTITUTE(SUBSTITUTE(SUBSTITUTE(SUBSTITUTE(SUBSTITUTE(SUBSTITUTE(SUBSTITUTE(SUBSTITUTE(SUBSTITUTE(D47,"亚庇","Kota Kinabalu"),"公寓","Condo"),"排屋","Terrace"),"别墅","Villa"),"店铺","Shop"),"新山","Johor Bahru"),"市中心","City Centre"),"高级","Premium"),"单位","Unit"),"住宅","Residence"),"")</f>
        <v/>
      </c>
      <c r="Q47" s="31" t="str">
        <f aca="false">IF(D47&lt;&gt;"",SUBSTITUTE(SUBSTITUTE(SUBSTITUTE(SUBSTITUTE(SUBSTITUTE(SUBSTITUTE(SUBSTITUTE(SUBSTITUTE(SUBSTITUTE(SUBSTITUTE(D47,"亚庇","Kota Kinabalu"),"公寓","Kondominium"),"排屋","Rumah Teres"),"别墅","Vila"),"店铺","Kedai"),"新山","Johor Bahru"),"市中心","Pusat Bandar"),"高级","Premium"),"单位","Unit"),"住宅","Kediaman"),"")</f>
        <v/>
      </c>
      <c r="R47" s="31" t="str">
        <f aca="false">IF(D47&lt;&gt;"","📍 "&amp;IF(E47&lt;&gt;"",E47&amp;"房","")&amp;IF(F47&lt;&gt;"",F47&amp;"卫 ","")&amp;IF(G47&lt;&gt;"",G47&amp;" sqft","")&amp;IF(AND(OR(E47&lt;&gt;"",G47&lt;&gt;""),H47&lt;&gt;"")," · ","")&amp;IF(H47&lt;&gt;"",H47,""),"")</f>
        <v/>
      </c>
      <c r="S47" s="31" t="str">
        <f aca="false">IF(D47&lt;&gt;"","📍 "&amp;IF(E47&lt;&gt;"",E47&amp;"BR ","")&amp;IF(F47&lt;&gt;"",F47&amp;"BA ","")&amp;IF(G47&lt;&gt;"",G47&amp;" sqft","")&amp;IF(AND(OR(E47&lt;&gt;"",G47&lt;&gt;""),H47&lt;&gt;"")," · ","")&amp;IF(H47&lt;&gt;"",SUBSTITUTE(SUBSTITUTE(SUBSTITUTE(SUBSTITUTE(SUBSTITUTE(SUBSTITUTE(SUBSTITUTE(SUBSTITUTE(SUBSTITUTE(SUBSTITUTE(H47,"游泳池","Swimming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7" s="31" t="str">
        <f aca="false">IF(D47&lt;&gt;"","📍 "&amp;IF(E47&lt;&gt;"",E47&amp;"Bilik ","")&amp;IF(F47&lt;&gt;"",F47&amp;"Bilik Air ","")&amp;IF(G47&lt;&gt;"",G47&amp;" sqft","")&amp;IF(AND(OR(E47&lt;&gt;"",G47&lt;&gt;""),H47&lt;&gt;"")," · ","")&amp;IF(H47&lt;&gt;"",SUBSTITUTE(SUBSTITUTE(SUBSTITUTE(SUBSTITUTE(SUBSTITUTE(SUBSTITUTE(SUBSTITUTE(SUBSTITUTE(SUBSTITUTE(SUBSTITUTE(H47,"游泳池","Kolam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7" s="32" t="str">
        <f aca="false">IF(OR(I47&lt;&gt;"",J47&lt;&gt;"",K47&lt;&gt;""),"🔒 "&amp;IF(I47&lt;&gt;"",I47,"")&amp;IF(AND(I47&lt;&gt;"",J47&lt;&gt;"")," · ","")&amp;IF(J47&lt;&gt;"",J47,"")&amp;IF(AND(OR(I47&lt;&gt;"",J47&lt;&gt;""),K47&lt;&gt;"")," · ","")&amp;IF(K47&lt;&gt;"",K47,""),"")</f>
        <v/>
      </c>
      <c r="V47" s="31" t="str">
        <f aca="false">IF(L47&lt;&gt;"","💰 起价 RM "&amp;TEXT(L47,"#,##0"),"")</f>
        <v/>
      </c>
      <c r="W47" s="31" t="str">
        <f aca="false">IF(L47&lt;&gt;"","💰 From RM "&amp;TEXT(L47,"#,##0"),"")</f>
        <v/>
      </c>
      <c r="X47" s="31" t="str">
        <f aca="false">IF(L47&lt;&gt;"","💰 Dari RM "&amp;TEXT(L47,"#,##0"),"")</f>
        <v/>
      </c>
      <c r="Y47" s="33" t="str">
        <f aca="false">IF(D47&lt;&gt;"","您好！我想咨询新楼盘：
🏠 "&amp;D47&amp;"
"&amp;IF(E47&lt;&gt;"","🛏 "&amp;E47&amp;"房"&amp;IF(F47&lt;&gt;""," "&amp;F47&amp;"卫","")&amp;"
","")&amp;IF(G47&lt;&gt;"","📐 "&amp;G47&amp;" sqft
","")&amp;IF(H47&lt;&gt;"","🏊 "&amp;H47&amp;"
","")&amp;IF(U47&lt;&gt;"",U47&amp;"
","")&amp;IF(L47&lt;&gt;"","💰 起价 RM "&amp;TEXT(L47,"#,##0")&amp;"
","")&amp;"
请问还有空档吗？谢谢！","")</f>
        <v/>
      </c>
      <c r="Z47" s="33" t="str">
        <f aca="false">IF(D47&lt;&gt;"","Hi! I'd like to make a new launch enquiry:
🏠 "&amp;P47&amp;"
"&amp;IF(E47&lt;&gt;"","🛏 "&amp;E47&amp;"BR"&amp;IF(F47&lt;&gt;""," "&amp;F47&amp;"BA","")&amp;"
","")&amp;IF(G47&lt;&gt;"","📐 "&amp;G47&amp;" sqft
","")&amp;IF(H47&lt;&gt;"","🏊 "&amp;SUBSTITUTE(SUBSTITUTE(SUBSTITUTE(SUBSTITUTE(SUBSTITUTE(SUBSTITUTE(SUBSTITUTE(SUBSTITUTE(SUBSTITUTE(SUBSTITUTE(H47,"游泳池","Swimming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Control"),""),"")&lt;&gt;"",IF(OR(I47&lt;&gt;"",J47&lt;&gt;"",K47&lt;&gt;""),"🔒 "&amp;IF(I47&lt;&gt;"",SUBSTITUTE(SUBSTITUTE(SUBSTITUTE(SUBSTITUTE(SUBSTITUTE(SUBSTITUTE(SUBSTITUTE(SUBSTITUTE(SUBSTITUTE(SUBSTITUTE(SUBSTITUTE(SUBSTITUTE(I47,"24小时保安","24hr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Control"),"")&amp;IF(AND(I47&lt;&gt;"",OR(J47&lt;&gt;"",K47&lt;&gt;""))," · ","")&amp;IF(J47&lt;&gt;"",SUBSTITUTE(SUBSTITUTE(SUBSTITUTE(SUBSTITUTE(SUBSTITUTE(SUBSTITUTE(SUBSTITUTE(SUBSTITUTE(SUBSTITUTE(SUBSTITUTE(SUBSTITUTE(SUBSTITUTE(J47,"24小时保安","24hr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Control"),"")&amp;IF(AND(J47&lt;&gt;"",K47&lt;&gt;"")," · ","")&amp;IF(K47&lt;&gt;"",SUBSTITUTE(SUBSTITUTE(SUBSTITUTE(SUBSTITUTE(SUBSTITUTE(SUBSTITUTE(SUBSTITUTE(SUBSTITUTE(SUBSTITUTE(SUBSTITUTE(SUBSTITUTE(SUBSTITUTE(K47,"24小时保安","24hr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","")&amp;IF(L47&lt;&gt;"","💰 From RM "&amp;TEXT(L47,"#,##0")&amp;"
","")&amp;"
Is this still available? Thank you!","")</f>
        <v/>
      </c>
      <c r="AA47" s="31"/>
      <c r="AB47" s="33" t="str">
        <f aca="false">IF(D47&lt;&gt;"","Helo! Saya ingin membuat pertanyaan projek baru:
🏠 "&amp;Q47&amp;"
"&amp;IF(E47&lt;&gt;"","🛏 "&amp;E47&amp;"Bilik"&amp;IF(F47&lt;&gt;""," "&amp;F47&amp;"Bilik Air","")&amp;"
","")&amp;IF(G47&lt;&gt;"","📐 "&amp;G47&amp;" sqft
","")&amp;IF(H47&lt;&gt;"","🏊 "&amp;SUBSTITUTE(SUBSTITUTE(SUBSTITUTE(SUBSTITUTE(SUBSTITUTE(SUBSTITUTE(SUBSTITUTE(SUBSTITUTE(SUBSTITUTE(SUBSTITUTE(H47,"游泳池","Kolam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Kawalan"),""),"")&lt;&gt;"",IF(OR(I47&lt;&gt;"",J47&lt;&gt;"",K47&lt;&gt;""),"🔒 "&amp;IF(I47&lt;&gt;"",SUBSTITUTE(SUBSTITUTE(SUBSTITUTE(SUBSTITUTE(SUBSTITUTE(SUBSTITUTE(SUBSTITUTE(SUBSTITUTE(SUBSTITUTE(SUBSTITUTE(SUBSTITUTE(SUBSTITUTE(I47,"24小时保安","Pengawal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Kawalan"),"")&amp;IF(AND(I47&lt;&gt;"",OR(J47&lt;&gt;"",K47&lt;&gt;""))," · ","")&amp;IF(J47&lt;&gt;"",SUBSTITUTE(SUBSTITUTE(SUBSTITUTE(SUBSTITUTE(SUBSTITUTE(SUBSTITUTE(SUBSTITUTE(SUBSTITUTE(SUBSTITUTE(SUBSTITUTE(SUBSTITUTE(SUBSTITUTE(J47,"24小时保安","Pengawal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Kawalan"),"")&amp;IF(AND(J47&lt;&gt;"",K47&lt;&gt;"")," · ","")&amp;IF(K47&lt;&gt;"",SUBSTITUTE(SUBSTITUTE(SUBSTITUTE(SUBSTITUTE(SUBSTITUTE(SUBSTITUTE(SUBSTITUTE(SUBSTITUTE(SUBSTITUTE(SUBSTITUTE(SUBSTITUTE(SUBSTITUTE(K47,"24小时保安","Pengawal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","")&amp;IF(L47&lt;&gt;"","💰 Dari RM "&amp;TEXT(L47,"#,##0")&amp;"
","")&amp;"
Adakah masih tersedia? Terima kasih!","")</f>
        <v/>
      </c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9"/>
      <c r="J48" s="29"/>
      <c r="K48" s="29"/>
      <c r="L48" s="28"/>
      <c r="M48" s="30"/>
      <c r="N48" s="31" t="str">
        <f aca="false">IFERROR(ifs(B48="🏢 Condo 公寓","fa-building",B48="🏠 Apartment 单位","fa-home",B48="🌿 即租即住","fa-home",B48="🌿 近国际学校","fa-school",B48="📌 商业旺铺","fa-store",B48="🌟 海景豪宅","fa-water-ladder",B48="📈 投资优选","fa-chart-line",B48="🏞️ 花园住宅","fa-tree",B48="🌟 2026全新地标","fa-drafting-compass",B48="📈 海外投资优选","fa-globe",B48="🌆 核心地段","fa-city",B48="🔥 限时优惠","fa-fire",B48="✅ 永久产权","fa-certificate",B48="🏅 高回报","fa-medal",B48="🏖️ 度假胜地","fa-umbrella-beach",B48="🏫 学区优选","fa-graduation-cap",B48="🛣️ 交通便利","fa-road",B48="🔑 即买即住","fa-key"),"fa-home")</f>
        <v>fa-home</v>
      </c>
      <c r="O48" s="31" t="str">
        <f aca="false">IF(D48&lt;&gt;"",D48,"")</f>
        <v/>
      </c>
      <c r="P48" s="31" t="str">
        <f aca="false">IF(D48&lt;&gt;"",SUBSTITUTE(SUBSTITUTE(SUBSTITUTE(SUBSTITUTE(SUBSTITUTE(SUBSTITUTE(SUBSTITUTE(SUBSTITUTE(SUBSTITUTE(SUBSTITUTE(D48,"亚庇","Kota Kinabalu"),"公寓","Condo"),"排屋","Terrace"),"别墅","Villa"),"店铺","Shop"),"新山","Johor Bahru"),"市中心","City Centre"),"高级","Premium"),"单位","Unit"),"住宅","Residence"),"")</f>
        <v/>
      </c>
      <c r="Q48" s="31" t="str">
        <f aca="false">IF(D48&lt;&gt;"",SUBSTITUTE(SUBSTITUTE(SUBSTITUTE(SUBSTITUTE(SUBSTITUTE(SUBSTITUTE(SUBSTITUTE(SUBSTITUTE(SUBSTITUTE(SUBSTITUTE(D48,"亚庇","Kota Kinabalu"),"公寓","Kondominium"),"排屋","Rumah Teres"),"别墅","Vila"),"店铺","Kedai"),"新山","Johor Bahru"),"市中心","Pusat Bandar"),"高级","Premium"),"单位","Unit"),"住宅","Kediaman"),"")</f>
        <v/>
      </c>
      <c r="R48" s="31" t="str">
        <f aca="false">IF(D48&lt;&gt;"","📍 "&amp;IF(E48&lt;&gt;"",E48&amp;"房","")&amp;IF(F48&lt;&gt;"",F48&amp;"卫 ","")&amp;IF(G48&lt;&gt;"",G48&amp;" sqft","")&amp;IF(AND(OR(E48&lt;&gt;"",G48&lt;&gt;""),H48&lt;&gt;"")," · ","")&amp;IF(H48&lt;&gt;"",H48,""),"")</f>
        <v/>
      </c>
      <c r="S48" s="31" t="str">
        <f aca="false">IF(D48&lt;&gt;"","📍 "&amp;IF(E48&lt;&gt;"",E48&amp;"BR ","")&amp;IF(F48&lt;&gt;"",F48&amp;"BA ","")&amp;IF(G48&lt;&gt;"",G48&amp;" sqft","")&amp;IF(AND(OR(E48&lt;&gt;"",G48&lt;&gt;""),H48&lt;&gt;"")," · ","")&amp;IF(H48&lt;&gt;"",SUBSTITUTE(SUBSTITUTE(SUBSTITUTE(SUBSTITUTE(SUBSTITUTE(SUBSTITUTE(SUBSTITUTE(SUBSTITUTE(SUBSTITUTE(SUBSTITUTE(H48,"游泳池","Swimming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8" s="31" t="str">
        <f aca="false">IF(D48&lt;&gt;"","📍 "&amp;IF(E48&lt;&gt;"",E48&amp;"Bilik ","")&amp;IF(F48&lt;&gt;"",F48&amp;"Bilik Air ","")&amp;IF(G48&lt;&gt;"",G48&amp;" sqft","")&amp;IF(AND(OR(E48&lt;&gt;"",G48&lt;&gt;""),H48&lt;&gt;"")," · ","")&amp;IF(H48&lt;&gt;"",SUBSTITUTE(SUBSTITUTE(SUBSTITUTE(SUBSTITUTE(SUBSTITUTE(SUBSTITUTE(SUBSTITUTE(SUBSTITUTE(SUBSTITUTE(SUBSTITUTE(H48,"游泳池","Kolam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8" s="32" t="str">
        <f aca="false">IF(OR(I48&lt;&gt;"",J48&lt;&gt;"",K48&lt;&gt;""),"🔒 "&amp;IF(I48&lt;&gt;"",I48,"")&amp;IF(AND(I48&lt;&gt;"",J48&lt;&gt;"")," · ","")&amp;IF(J48&lt;&gt;"",J48,"")&amp;IF(AND(OR(I48&lt;&gt;"",J48&lt;&gt;""),K48&lt;&gt;"")," · ","")&amp;IF(K48&lt;&gt;"",K48,""),"")</f>
        <v/>
      </c>
      <c r="V48" s="31" t="str">
        <f aca="false">IF(L48&lt;&gt;"","💰 起价 RM "&amp;TEXT(L48,"#,##0"),"")</f>
        <v/>
      </c>
      <c r="W48" s="31" t="str">
        <f aca="false">IF(L48&lt;&gt;"","💰 From RM "&amp;TEXT(L48,"#,##0"),"")</f>
        <v/>
      </c>
      <c r="X48" s="31" t="str">
        <f aca="false">IF(L48&lt;&gt;"","💰 Dari RM "&amp;TEXT(L48,"#,##0"),"")</f>
        <v/>
      </c>
      <c r="Y48" s="33" t="str">
        <f aca="false">IF(D48&lt;&gt;"","您好！我想咨询新楼盘：
🏠 "&amp;D48&amp;"
"&amp;IF(E48&lt;&gt;"","🛏 "&amp;E48&amp;"房"&amp;IF(F48&lt;&gt;""," "&amp;F48&amp;"卫","")&amp;"
","")&amp;IF(G48&lt;&gt;"","📐 "&amp;G48&amp;" sqft
","")&amp;IF(H48&lt;&gt;"","🏊 "&amp;H48&amp;"
","")&amp;IF(U48&lt;&gt;"",U48&amp;"
","")&amp;IF(L48&lt;&gt;"","💰 起价 RM "&amp;TEXT(L48,"#,##0")&amp;"
","")&amp;"
请问还有空档吗？谢谢！","")</f>
        <v/>
      </c>
      <c r="Z48" s="33" t="str">
        <f aca="false">IF(D48&lt;&gt;"","Hi! I'd like to make a new launch enquiry:
🏠 "&amp;P48&amp;"
"&amp;IF(E48&lt;&gt;"","🛏 "&amp;E48&amp;"BR"&amp;IF(F48&lt;&gt;""," "&amp;F48&amp;"BA","")&amp;"
","")&amp;IF(G48&lt;&gt;"","📐 "&amp;G48&amp;" sqft
","")&amp;IF(H48&lt;&gt;"","🏊 "&amp;SUBSTITUTE(SUBSTITUTE(SUBSTITUTE(SUBSTITUTE(SUBSTITUTE(SUBSTITUTE(SUBSTITUTE(SUBSTITUTE(SUBSTITUTE(SUBSTITUTE(H48,"游泳池","Swimming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Control"),""),"")&lt;&gt;"",IF(OR(I48&lt;&gt;"",J48&lt;&gt;"",K48&lt;&gt;""),"🔒 "&amp;IF(I48&lt;&gt;"",SUBSTITUTE(SUBSTITUTE(SUBSTITUTE(SUBSTITUTE(SUBSTITUTE(SUBSTITUTE(SUBSTITUTE(SUBSTITUTE(SUBSTITUTE(SUBSTITUTE(SUBSTITUTE(SUBSTITUTE(I48,"24小时保安","24hr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Control"),"")&amp;IF(AND(I48&lt;&gt;"",OR(J48&lt;&gt;"",K48&lt;&gt;""))," · ","")&amp;IF(J48&lt;&gt;"",SUBSTITUTE(SUBSTITUTE(SUBSTITUTE(SUBSTITUTE(SUBSTITUTE(SUBSTITUTE(SUBSTITUTE(SUBSTITUTE(SUBSTITUTE(SUBSTITUTE(SUBSTITUTE(SUBSTITUTE(J48,"24小时保安","24hr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Control"),"")&amp;IF(AND(J48&lt;&gt;"",K48&lt;&gt;"")," · ","")&amp;IF(K48&lt;&gt;"",SUBSTITUTE(SUBSTITUTE(SUBSTITUTE(SUBSTITUTE(SUBSTITUTE(SUBSTITUTE(SUBSTITUTE(SUBSTITUTE(SUBSTITUTE(SUBSTITUTE(SUBSTITUTE(SUBSTITUTE(K48,"24小时保安","24hr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","")&amp;IF(L48&lt;&gt;"","💰 From RM "&amp;TEXT(L48,"#,##0")&amp;"
","")&amp;"
Is this still available? Thank you!","")</f>
        <v/>
      </c>
      <c r="AA48" s="31"/>
      <c r="AB48" s="33" t="str">
        <f aca="false">IF(D48&lt;&gt;"","Helo! Saya ingin membuat pertanyaan projek baru:
🏠 "&amp;Q48&amp;"
"&amp;IF(E48&lt;&gt;"","🛏 "&amp;E48&amp;"Bilik"&amp;IF(F48&lt;&gt;""," "&amp;F48&amp;"Bilik Air","")&amp;"
","")&amp;IF(G48&lt;&gt;"","📐 "&amp;G48&amp;" sqft
","")&amp;IF(H48&lt;&gt;"","🏊 "&amp;SUBSTITUTE(SUBSTITUTE(SUBSTITUTE(SUBSTITUTE(SUBSTITUTE(SUBSTITUTE(SUBSTITUTE(SUBSTITUTE(SUBSTITUTE(SUBSTITUTE(H48,"游泳池","Kolam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Kawalan"),""),"")&lt;&gt;"",IF(OR(I48&lt;&gt;"",J48&lt;&gt;"",K48&lt;&gt;""),"🔒 "&amp;IF(I48&lt;&gt;"",SUBSTITUTE(SUBSTITUTE(SUBSTITUTE(SUBSTITUTE(SUBSTITUTE(SUBSTITUTE(SUBSTITUTE(SUBSTITUTE(SUBSTITUTE(SUBSTITUTE(SUBSTITUTE(SUBSTITUTE(I48,"24小时保安","Pengawal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Kawalan"),"")&amp;IF(AND(I48&lt;&gt;"",OR(J48&lt;&gt;"",K48&lt;&gt;""))," · ","")&amp;IF(J48&lt;&gt;"",SUBSTITUTE(SUBSTITUTE(SUBSTITUTE(SUBSTITUTE(SUBSTITUTE(SUBSTITUTE(SUBSTITUTE(SUBSTITUTE(SUBSTITUTE(SUBSTITUTE(SUBSTITUTE(SUBSTITUTE(J48,"24小时保安","Pengawal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Kawalan"),"")&amp;IF(AND(J48&lt;&gt;"",K48&lt;&gt;"")," · ","")&amp;IF(K48&lt;&gt;"",SUBSTITUTE(SUBSTITUTE(SUBSTITUTE(SUBSTITUTE(SUBSTITUTE(SUBSTITUTE(SUBSTITUTE(SUBSTITUTE(SUBSTITUTE(SUBSTITUTE(SUBSTITUTE(SUBSTITUTE(K48,"24小时保安","Pengawal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","")&amp;IF(L48&lt;&gt;"","💰 Dari RM "&amp;TEXT(L48,"#,##0")&amp;"
","")&amp;"
Adakah masih tersedia? Terima kasih!","")</f>
        <v/>
      </c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9"/>
      <c r="J49" s="29"/>
      <c r="K49" s="29"/>
      <c r="L49" s="28"/>
      <c r="M49" s="30"/>
      <c r="N49" s="31" t="str">
        <f aca="false">IFERROR(ifs(B49="🏢 Condo 公寓","fa-building",B49="🏠 Apartment 单位","fa-home",B49="🌿 即租即住","fa-home",B49="🌿 近国际学校","fa-school",B49="📌 商业旺铺","fa-store",B49="🌟 海景豪宅","fa-water-ladder",B49="📈 投资优选","fa-chart-line",B49="🏞️ 花园住宅","fa-tree",B49="🌟 2026全新地标","fa-drafting-compass",B49="📈 海外投资优选","fa-globe",B49="🌆 核心地段","fa-city",B49="🔥 限时优惠","fa-fire",B49="✅ 永久产权","fa-certificate",B49="🏅 高回报","fa-medal",B49="🏖️ 度假胜地","fa-umbrella-beach",B49="🏫 学区优选","fa-graduation-cap",B49="🛣️ 交通便利","fa-road",B49="🔑 即买即住","fa-key"),"fa-home")</f>
        <v>fa-home</v>
      </c>
      <c r="O49" s="31" t="str">
        <f aca="false">IF(D49&lt;&gt;"",D49,"")</f>
        <v/>
      </c>
      <c r="P49" s="31" t="str">
        <f aca="false">IF(D49&lt;&gt;"",SUBSTITUTE(SUBSTITUTE(SUBSTITUTE(SUBSTITUTE(SUBSTITUTE(SUBSTITUTE(SUBSTITUTE(SUBSTITUTE(SUBSTITUTE(SUBSTITUTE(D49,"亚庇","Kota Kinabalu"),"公寓","Condo"),"排屋","Terrace"),"别墅","Villa"),"店铺","Shop"),"新山","Johor Bahru"),"市中心","City Centre"),"高级","Premium"),"单位","Unit"),"住宅","Residence"),"")</f>
        <v/>
      </c>
      <c r="Q49" s="31" t="str">
        <f aca="false">IF(D49&lt;&gt;"",SUBSTITUTE(SUBSTITUTE(SUBSTITUTE(SUBSTITUTE(SUBSTITUTE(SUBSTITUTE(SUBSTITUTE(SUBSTITUTE(SUBSTITUTE(SUBSTITUTE(D49,"亚庇","Kota Kinabalu"),"公寓","Kondominium"),"排屋","Rumah Teres"),"别墅","Vila"),"店铺","Kedai"),"新山","Johor Bahru"),"市中心","Pusat Bandar"),"高级","Premium"),"单位","Unit"),"住宅","Kediaman"),"")</f>
        <v/>
      </c>
      <c r="R49" s="31" t="str">
        <f aca="false">IF(D49&lt;&gt;"","📍 "&amp;IF(E49&lt;&gt;"",E49&amp;"房","")&amp;IF(F49&lt;&gt;"",F49&amp;"卫 ","")&amp;IF(G49&lt;&gt;"",G49&amp;" sqft","")&amp;IF(AND(OR(E49&lt;&gt;"",G49&lt;&gt;""),H49&lt;&gt;"")," · ","")&amp;IF(H49&lt;&gt;"",H49,""),"")</f>
        <v/>
      </c>
      <c r="S49" s="31" t="str">
        <f aca="false">IF(D49&lt;&gt;"","📍 "&amp;IF(E49&lt;&gt;"",E49&amp;"BR ","")&amp;IF(F49&lt;&gt;"",F49&amp;"BA ","")&amp;IF(G49&lt;&gt;"",G49&amp;" sqft","")&amp;IF(AND(OR(E49&lt;&gt;"",G49&lt;&gt;""),H49&lt;&gt;"")," · ","")&amp;IF(H49&lt;&gt;"",SUBSTITUTE(SUBSTITUTE(SUBSTITUTE(SUBSTITUTE(SUBSTITUTE(SUBSTITUTE(SUBSTITUTE(SUBSTITUTE(SUBSTITUTE(SUBSTITUTE(H49,"游泳池","Swimming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49" s="31" t="str">
        <f aca="false">IF(D49&lt;&gt;"","📍 "&amp;IF(E49&lt;&gt;"",E49&amp;"Bilik ","")&amp;IF(F49&lt;&gt;"",F49&amp;"Bilik Air ","")&amp;IF(G49&lt;&gt;"",G49&amp;" sqft","")&amp;IF(AND(OR(E49&lt;&gt;"",G49&lt;&gt;""),H49&lt;&gt;"")," · ","")&amp;IF(H49&lt;&gt;"",SUBSTITUTE(SUBSTITUTE(SUBSTITUTE(SUBSTITUTE(SUBSTITUTE(SUBSTITUTE(SUBSTITUTE(SUBSTITUTE(SUBSTITUTE(SUBSTITUTE(H49,"游泳池","Kolam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49" s="32" t="str">
        <f aca="false">IF(OR(I49&lt;&gt;"",J49&lt;&gt;"",K49&lt;&gt;""),"🔒 "&amp;IF(I49&lt;&gt;"",I49,"")&amp;IF(AND(I49&lt;&gt;"",J49&lt;&gt;"")," · ","")&amp;IF(J49&lt;&gt;"",J49,"")&amp;IF(AND(OR(I49&lt;&gt;"",J49&lt;&gt;""),K49&lt;&gt;"")," · ","")&amp;IF(K49&lt;&gt;"",K49,""),"")</f>
        <v/>
      </c>
      <c r="V49" s="31" t="str">
        <f aca="false">IF(L49&lt;&gt;"","💰 起价 RM "&amp;TEXT(L49,"#,##0"),"")</f>
        <v/>
      </c>
      <c r="W49" s="31" t="str">
        <f aca="false">IF(L49&lt;&gt;"","💰 From RM "&amp;TEXT(L49,"#,##0"),"")</f>
        <v/>
      </c>
      <c r="X49" s="31" t="str">
        <f aca="false">IF(L49&lt;&gt;"","💰 Dari RM "&amp;TEXT(L49,"#,##0"),"")</f>
        <v/>
      </c>
      <c r="Y49" s="33" t="str">
        <f aca="false">IF(D49&lt;&gt;"","您好！我想咨询新楼盘：
🏠 "&amp;D49&amp;"
"&amp;IF(E49&lt;&gt;"","🛏 "&amp;E49&amp;"房"&amp;IF(F49&lt;&gt;""," "&amp;F49&amp;"卫","")&amp;"
","")&amp;IF(G49&lt;&gt;"","📐 "&amp;G49&amp;" sqft
","")&amp;IF(H49&lt;&gt;"","🏊 "&amp;H49&amp;"
","")&amp;IF(U49&lt;&gt;"",U49&amp;"
","")&amp;IF(L49&lt;&gt;"","💰 起价 RM "&amp;TEXT(L49,"#,##0")&amp;"
","")&amp;"
请问还有空档吗？谢谢！","")</f>
        <v/>
      </c>
      <c r="Z49" s="33" t="str">
        <f aca="false">IF(D49&lt;&gt;"","Hi! I'd like to make a new launch enquiry:
🏠 "&amp;P49&amp;"
"&amp;IF(E49&lt;&gt;"","🛏 "&amp;E49&amp;"BR"&amp;IF(F49&lt;&gt;""," "&amp;F49&amp;"BA","")&amp;"
","")&amp;IF(G49&lt;&gt;"","📐 "&amp;G49&amp;" sqft
","")&amp;IF(H49&lt;&gt;"","🏊 "&amp;SUBSTITUTE(SUBSTITUTE(SUBSTITUTE(SUBSTITUTE(SUBSTITUTE(SUBSTITUTE(SUBSTITUTE(SUBSTITUTE(SUBSTITUTE(SUBSTITUTE(H49,"游泳池","Swimming Pool"),"健身室","Gym"),"儿童乐园","Kids Play Area"),"BBQ区","BBQ Area"),"会所","Clubhouse"),"网球场","Tennis Court"),"篮球场","Basketball Court"),"停车场","Parking"),"便利店","Mini Mart"),"咖啡厅","Cafe")&amp;"
","")&amp;IF(IF(OR(I49&lt;&gt;"",J49&lt;&gt;"",K49&lt;&gt;""),"🔒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Control"),""),"")&lt;&gt;"",IF(OR(I49&lt;&gt;"",J49&lt;&gt;"",K49&lt;&gt;""),"🔒 "&amp;IF(I49&lt;&gt;"",SUBSTITUTE(SUBSTITUTE(SUBSTITUTE(SUBSTITUTE(SUBSTITUTE(SUBSTITUTE(SUBSTITUTE(SUBSTITUTE(SUBSTITUTE(SUBSTITUTE(SUBSTITUTE(SUBSTITUTE(I49,"24小时保安","24hr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Control"),"")&amp;IF(AND(I49&lt;&gt;"",OR(J49&lt;&gt;"",K49&lt;&gt;""))," · ","")&amp;IF(J49&lt;&gt;"",SUBSTITUTE(SUBSTITUTE(SUBSTITUTE(SUBSTITUTE(SUBSTITUTE(SUBSTITUTE(SUBSTITUTE(SUBSTITUTE(SUBSTITUTE(SUBSTITUTE(SUBSTITUTE(SUBSTITUTE(J49,"24小时保安","24hr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Control"),"")&amp;IF(AND(J49&lt;&gt;"",K49&lt;&gt;"")," · ","")&amp;IF(K49&lt;&gt;"",SUBSTITUTE(SUBSTITUTE(SUBSTITUTE(SUBSTITUTE(SUBSTITUTE(SUBSTITUTE(SUBSTITUTE(SUBSTITUTE(SUBSTITUTE(SUBSTITUTE(SUBSTITUTE(SUBSTITUTE(K49,"24小时保安","24hr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","")&amp;IF(L49&lt;&gt;"","💰 From RM "&amp;TEXT(L49,"#,##0")&amp;"
","")&amp;"
Is this still available? Thank you!","")</f>
        <v/>
      </c>
      <c r="AA49" s="31"/>
      <c r="AB49" s="33" t="str">
        <f aca="false">IF(D49&lt;&gt;"","Helo! Saya ingin membuat pertanyaan projek baru:
🏠 "&amp;Q49&amp;"
"&amp;IF(E49&lt;&gt;"","🛏 "&amp;E49&amp;"Bilik"&amp;IF(F49&lt;&gt;""," "&amp;F49&amp;"Bilik Air","")&amp;"
","")&amp;IF(G49&lt;&gt;"","📐 "&amp;G49&amp;" sqft
","")&amp;IF(H49&lt;&gt;"","🏊 "&amp;SUBSTITUTE(SUBSTITUTE(SUBSTITUTE(SUBSTITUTE(SUBSTITUTE(SUBSTITUTE(SUBSTITUTE(SUBSTITUTE(SUBSTITUTE(SUBSTITUTE(H49,"游泳池","Kolam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Kawalan"),""),"")&lt;&gt;"",IF(OR(I49&lt;&gt;"",J49&lt;&gt;"",K49&lt;&gt;""),"🔒 "&amp;IF(I49&lt;&gt;"",SUBSTITUTE(SUBSTITUTE(SUBSTITUTE(SUBSTITUTE(SUBSTITUTE(SUBSTITUTE(SUBSTITUTE(SUBSTITUTE(SUBSTITUTE(SUBSTITUTE(SUBSTITUTE(SUBSTITUTE(I49,"24小时保安","Pengawal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Kawalan"),"")&amp;IF(AND(I49&lt;&gt;"",OR(J49&lt;&gt;"",K49&lt;&gt;""))," · ","")&amp;IF(J49&lt;&gt;"",SUBSTITUTE(SUBSTITUTE(SUBSTITUTE(SUBSTITUTE(SUBSTITUTE(SUBSTITUTE(SUBSTITUTE(SUBSTITUTE(SUBSTITUTE(SUBSTITUTE(SUBSTITUTE(SUBSTITUTE(J49,"24小时保安","Pengawal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Kawalan"),"")&amp;IF(AND(J49&lt;&gt;"",K49&lt;&gt;"")," · ","")&amp;IF(K49&lt;&gt;"",SUBSTITUTE(SUBSTITUTE(SUBSTITUTE(SUBSTITUTE(SUBSTITUTE(SUBSTITUTE(SUBSTITUTE(SUBSTITUTE(SUBSTITUTE(SUBSTITUTE(SUBSTITUTE(SUBSTITUTE(K49,"24小时保安","Pengawal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","")&amp;IF(L49&lt;&gt;"","💰 Dari RM "&amp;TEXT(L49,"#,##0")&amp;"
","")&amp;"
Adakah masih tersedia? Terima kasih!","")</f>
        <v/>
      </c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9"/>
      <c r="J50" s="29"/>
      <c r="K50" s="29"/>
      <c r="L50" s="28"/>
      <c r="M50" s="30"/>
      <c r="N50" s="31" t="str">
        <f aca="false">IFERROR(ifs(B50="🏢 Condo 公寓","fa-building",B50="🏠 Apartment 单位","fa-home",B50="🌿 即租即住","fa-home",B50="🌿 近国际学校","fa-school",B50="📌 商业旺铺","fa-store",B50="🌟 海景豪宅","fa-water-ladder",B50="📈 投资优选","fa-chart-line",B50="🏞️ 花园住宅","fa-tree",B50="🌟 2026全新地标","fa-drafting-compass",B50="📈 海外投资优选","fa-globe",B50="🌆 核心地段","fa-city",B50="🔥 限时优惠","fa-fire",B50="✅ 永久产权","fa-certificate",B50="🏅 高回报","fa-medal",B50="🏖️ 度假胜地","fa-umbrella-beach",B50="🏫 学区优选","fa-graduation-cap",B50="🛣️ 交通便利","fa-road",B50="🔑 即买即住","fa-key"),"fa-home")</f>
        <v>fa-home</v>
      </c>
      <c r="O50" s="31" t="str">
        <f aca="false">IF(D50&lt;&gt;"",D50,"")</f>
        <v/>
      </c>
      <c r="P50" s="31" t="str">
        <f aca="false">IF(D50&lt;&gt;"",SUBSTITUTE(SUBSTITUTE(SUBSTITUTE(SUBSTITUTE(SUBSTITUTE(SUBSTITUTE(SUBSTITUTE(SUBSTITUTE(SUBSTITUTE(SUBSTITUTE(D50,"亚庇","Kota Kinabalu"),"公寓","Condo"),"排屋","Terrace"),"别墅","Villa"),"店铺","Shop"),"新山","Johor Bahru"),"市中心","City Centre"),"高级","Premium"),"单位","Unit"),"住宅","Residence"),"")</f>
        <v/>
      </c>
      <c r="Q50" s="31" t="str">
        <f aca="false">IF(D50&lt;&gt;"",SUBSTITUTE(SUBSTITUTE(SUBSTITUTE(SUBSTITUTE(SUBSTITUTE(SUBSTITUTE(SUBSTITUTE(SUBSTITUTE(SUBSTITUTE(SUBSTITUTE(D50,"亚庇","Kota Kinabalu"),"公寓","Kondominium"),"排屋","Rumah Teres"),"别墅","Vila"),"店铺","Kedai"),"新山","Johor Bahru"),"市中心","Pusat Bandar"),"高级","Premium"),"单位","Unit"),"住宅","Kediaman"),"")</f>
        <v/>
      </c>
      <c r="R50" s="31" t="str">
        <f aca="false">IF(D50&lt;&gt;"","📍 "&amp;IF(E50&lt;&gt;"",E50&amp;"房","")&amp;IF(F50&lt;&gt;"",F50&amp;"卫 ","")&amp;IF(G50&lt;&gt;"",G50&amp;" sqft","")&amp;IF(AND(OR(E50&lt;&gt;"",G50&lt;&gt;""),H50&lt;&gt;"")," · ","")&amp;IF(H50&lt;&gt;"",H50,""),"")</f>
        <v/>
      </c>
      <c r="S50" s="31" t="str">
        <f aca="false">IF(D50&lt;&gt;"","📍 "&amp;IF(E50&lt;&gt;"",E50&amp;"BR ","")&amp;IF(F50&lt;&gt;"",F50&amp;"BA ","")&amp;IF(G50&lt;&gt;"",G50&amp;" sqft","")&amp;IF(AND(OR(E50&lt;&gt;"",G50&lt;&gt;""),H50&lt;&gt;"")," · ","")&amp;IF(H50&lt;&gt;"",SUBSTITUTE(SUBSTITUTE(SUBSTITUTE(SUBSTITUTE(SUBSTITUTE(SUBSTITUTE(SUBSTITUTE(SUBSTITUTE(SUBSTITUTE(SUBSTITUTE(H50,"游泳池","Swimming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0" s="31" t="str">
        <f aca="false">IF(D50&lt;&gt;"","📍 "&amp;IF(E50&lt;&gt;"",E50&amp;"Bilik ","")&amp;IF(F50&lt;&gt;"",F50&amp;"Bilik Air ","")&amp;IF(G50&lt;&gt;"",G50&amp;" sqft","")&amp;IF(AND(OR(E50&lt;&gt;"",G50&lt;&gt;""),H50&lt;&gt;"")," · ","")&amp;IF(H50&lt;&gt;"",SUBSTITUTE(SUBSTITUTE(SUBSTITUTE(SUBSTITUTE(SUBSTITUTE(SUBSTITUTE(SUBSTITUTE(SUBSTITUTE(SUBSTITUTE(SUBSTITUTE(H50,"游泳池","Kolam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0" s="32" t="str">
        <f aca="false">IF(OR(I50&lt;&gt;"",J50&lt;&gt;"",K50&lt;&gt;""),"🔒 "&amp;IF(I50&lt;&gt;"",I50,"")&amp;IF(AND(I50&lt;&gt;"",J50&lt;&gt;"")," · ","")&amp;IF(J50&lt;&gt;"",J50,"")&amp;IF(AND(OR(I50&lt;&gt;"",J50&lt;&gt;""),K50&lt;&gt;"")," · ","")&amp;IF(K50&lt;&gt;"",K50,""),"")</f>
        <v/>
      </c>
      <c r="V50" s="31" t="str">
        <f aca="false">IF(L50&lt;&gt;"","💰 起价 RM "&amp;TEXT(L50,"#,##0"),"")</f>
        <v/>
      </c>
      <c r="W50" s="31" t="str">
        <f aca="false">IF(L50&lt;&gt;"","💰 From RM "&amp;TEXT(L50,"#,##0"),"")</f>
        <v/>
      </c>
      <c r="X50" s="31" t="str">
        <f aca="false">IF(L50&lt;&gt;"","💰 Dari RM "&amp;TEXT(L50,"#,##0"),"")</f>
        <v/>
      </c>
      <c r="Y50" s="33" t="str">
        <f aca="false">IF(D50&lt;&gt;"","您好！我想咨询新楼盘：
🏠 "&amp;D50&amp;"
"&amp;IF(E50&lt;&gt;"","🛏 "&amp;E50&amp;"房"&amp;IF(F50&lt;&gt;""," "&amp;F50&amp;"卫","")&amp;"
","")&amp;IF(G50&lt;&gt;"","📐 "&amp;G50&amp;" sqft
","")&amp;IF(H50&lt;&gt;"","🏊 "&amp;H50&amp;"
","")&amp;IF(U50&lt;&gt;"",U50&amp;"
","")&amp;IF(L50&lt;&gt;"","💰 起价 RM "&amp;TEXT(L50,"#,##0")&amp;"
","")&amp;"
请问还有空档吗？谢谢！","")</f>
        <v/>
      </c>
      <c r="Z50" s="33" t="str">
        <f aca="false">IF(D50&lt;&gt;"","Hi! I'd like to make a new launch enquiry:
🏠 "&amp;P50&amp;"
"&amp;IF(E50&lt;&gt;"","🛏 "&amp;E50&amp;"BR"&amp;IF(F50&lt;&gt;""," "&amp;F50&amp;"BA","")&amp;"
","")&amp;IF(G50&lt;&gt;"","📐 "&amp;G50&amp;" sqft
","")&amp;IF(H50&lt;&gt;"","🏊 "&amp;SUBSTITUTE(SUBSTITUTE(SUBSTITUTE(SUBSTITUTE(SUBSTITUTE(SUBSTITUTE(SUBSTITUTE(SUBSTITUTE(SUBSTITUTE(SUBSTITUTE(H50,"游泳池","Swimming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Control"),""),"")&lt;&gt;"",IF(OR(I50&lt;&gt;"",J50&lt;&gt;"",K50&lt;&gt;""),"🔒 "&amp;IF(I50&lt;&gt;"",SUBSTITUTE(SUBSTITUTE(SUBSTITUTE(SUBSTITUTE(SUBSTITUTE(SUBSTITUTE(SUBSTITUTE(SUBSTITUTE(SUBSTITUTE(SUBSTITUTE(SUBSTITUTE(SUBSTITUTE(I50,"24小时保安","24hr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Control"),"")&amp;IF(AND(I50&lt;&gt;"",OR(J50&lt;&gt;"",K50&lt;&gt;""))," · ","")&amp;IF(J50&lt;&gt;"",SUBSTITUTE(SUBSTITUTE(SUBSTITUTE(SUBSTITUTE(SUBSTITUTE(SUBSTITUTE(SUBSTITUTE(SUBSTITUTE(SUBSTITUTE(SUBSTITUTE(SUBSTITUTE(SUBSTITUTE(J50,"24小时保安","24hr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Control"),"")&amp;IF(AND(J50&lt;&gt;"",K50&lt;&gt;"")," · ","")&amp;IF(K50&lt;&gt;"",SUBSTITUTE(SUBSTITUTE(SUBSTITUTE(SUBSTITUTE(SUBSTITUTE(SUBSTITUTE(SUBSTITUTE(SUBSTITUTE(SUBSTITUTE(SUBSTITUTE(SUBSTITUTE(SUBSTITUTE(K50,"24小时保安","24hr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","")&amp;IF(L50&lt;&gt;"","💰 From RM "&amp;TEXT(L50,"#,##0")&amp;"
","")&amp;"
Is this still available? Thank you!","")</f>
        <v/>
      </c>
      <c r="AA50" s="31"/>
      <c r="AB50" s="33" t="str">
        <f aca="false">IF(D50&lt;&gt;"","Helo! Saya ingin membuat pertanyaan projek baru:
🏠 "&amp;Q50&amp;"
"&amp;IF(E50&lt;&gt;"","🛏 "&amp;E50&amp;"Bilik"&amp;IF(F50&lt;&gt;""," "&amp;F50&amp;"Bilik Air","")&amp;"
","")&amp;IF(G50&lt;&gt;"","📐 "&amp;G50&amp;" sqft
","")&amp;IF(H50&lt;&gt;"","🏊 "&amp;SUBSTITUTE(SUBSTITUTE(SUBSTITUTE(SUBSTITUTE(SUBSTITUTE(SUBSTITUTE(SUBSTITUTE(SUBSTITUTE(SUBSTITUTE(SUBSTITUTE(H50,"游泳池","Kolam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Kawalan"),""),"")&lt;&gt;"",IF(OR(I50&lt;&gt;"",J50&lt;&gt;"",K50&lt;&gt;""),"🔒 "&amp;IF(I50&lt;&gt;"",SUBSTITUTE(SUBSTITUTE(SUBSTITUTE(SUBSTITUTE(SUBSTITUTE(SUBSTITUTE(SUBSTITUTE(SUBSTITUTE(SUBSTITUTE(SUBSTITUTE(SUBSTITUTE(SUBSTITUTE(I50,"24小时保安","Pengawal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Kawalan"),"")&amp;IF(AND(I50&lt;&gt;"",OR(J50&lt;&gt;"",K50&lt;&gt;""))," · ","")&amp;IF(J50&lt;&gt;"",SUBSTITUTE(SUBSTITUTE(SUBSTITUTE(SUBSTITUTE(SUBSTITUTE(SUBSTITUTE(SUBSTITUTE(SUBSTITUTE(SUBSTITUTE(SUBSTITUTE(SUBSTITUTE(SUBSTITUTE(J50,"24小时保安","Pengawal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Kawalan"),"")&amp;IF(AND(J50&lt;&gt;"",K50&lt;&gt;"")," · ","")&amp;IF(K50&lt;&gt;"",SUBSTITUTE(SUBSTITUTE(SUBSTITUTE(SUBSTITUTE(SUBSTITUTE(SUBSTITUTE(SUBSTITUTE(SUBSTITUTE(SUBSTITUTE(SUBSTITUTE(SUBSTITUTE(SUBSTITUTE(K50,"24小时保安","Pengawal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","")&amp;IF(L50&lt;&gt;"","💰 Dari RM "&amp;TEXT(L50,"#,##0")&amp;"
","")&amp;"
Adakah masih tersedia? Terima kasih!","")</f>
        <v/>
      </c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9"/>
      <c r="J51" s="29"/>
      <c r="K51" s="29"/>
      <c r="L51" s="28"/>
      <c r="M51" s="30"/>
      <c r="N51" s="31" t="str">
        <f aca="false">IFERROR(ifs(B51="🏢 Condo 公寓","fa-building",B51="🏠 Apartment 单位","fa-home",B51="🌿 即租即住","fa-home",B51="🌿 近国际学校","fa-school",B51="📌 商业旺铺","fa-store",B51="🌟 海景豪宅","fa-water-ladder",B51="📈 投资优选","fa-chart-line",B51="🏞️ 花园住宅","fa-tree",B51="🌟 2026全新地标","fa-drafting-compass",B51="📈 海外投资优选","fa-globe",B51="🌆 核心地段","fa-city",B51="🔥 限时优惠","fa-fire",B51="✅ 永久产权","fa-certificate",B51="🏅 高回报","fa-medal",B51="🏖️ 度假胜地","fa-umbrella-beach",B51="🏫 学区优选","fa-graduation-cap",B51="🛣️ 交通便利","fa-road",B51="🔑 即买即住","fa-key"),"fa-home")</f>
        <v>fa-home</v>
      </c>
      <c r="O51" s="31" t="str">
        <f aca="false">IF(D51&lt;&gt;"",D51,"")</f>
        <v/>
      </c>
      <c r="P51" s="31" t="str">
        <f aca="false">IF(D51&lt;&gt;"",SUBSTITUTE(SUBSTITUTE(SUBSTITUTE(SUBSTITUTE(SUBSTITUTE(SUBSTITUTE(SUBSTITUTE(SUBSTITUTE(SUBSTITUTE(SUBSTITUTE(D51,"亚庇","Kota Kinabalu"),"公寓","Condo"),"排屋","Terrace"),"别墅","Villa"),"店铺","Shop"),"新山","Johor Bahru"),"市中心","City Centre"),"高级","Premium"),"单位","Unit"),"住宅","Residence"),"")</f>
        <v/>
      </c>
      <c r="Q51" s="31" t="str">
        <f aca="false">IF(D51&lt;&gt;"",SUBSTITUTE(SUBSTITUTE(SUBSTITUTE(SUBSTITUTE(SUBSTITUTE(SUBSTITUTE(SUBSTITUTE(SUBSTITUTE(SUBSTITUTE(SUBSTITUTE(D51,"亚庇","Kota Kinabalu"),"公寓","Kondominium"),"排屋","Rumah Teres"),"别墅","Vila"),"店铺","Kedai"),"新山","Johor Bahru"),"市中心","Pusat Bandar"),"高级","Premium"),"单位","Unit"),"住宅","Kediaman"),"")</f>
        <v/>
      </c>
      <c r="R51" s="31" t="str">
        <f aca="false">IF(D51&lt;&gt;"","📍 "&amp;IF(E51&lt;&gt;"",E51&amp;"房","")&amp;IF(F51&lt;&gt;"",F51&amp;"卫 ","")&amp;IF(G51&lt;&gt;"",G51&amp;" sqft","")&amp;IF(AND(OR(E51&lt;&gt;"",G51&lt;&gt;""),H51&lt;&gt;"")," · ","")&amp;IF(H51&lt;&gt;"",H51,""),"")</f>
        <v/>
      </c>
      <c r="S51" s="31" t="str">
        <f aca="false">IF(D51&lt;&gt;"","📍 "&amp;IF(E51&lt;&gt;"",E51&amp;"BR ","")&amp;IF(F51&lt;&gt;"",F51&amp;"BA ","")&amp;IF(G51&lt;&gt;"",G51&amp;" sqft","")&amp;IF(AND(OR(E51&lt;&gt;"",G51&lt;&gt;""),H51&lt;&gt;"")," · ","")&amp;IF(H51&lt;&gt;"",SUBSTITUTE(SUBSTITUTE(SUBSTITUTE(SUBSTITUTE(SUBSTITUTE(SUBSTITUTE(SUBSTITUTE(SUBSTITUTE(SUBSTITUTE(SUBSTITUTE(H51,"游泳池","Swimming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1" s="31" t="str">
        <f aca="false">IF(D51&lt;&gt;"","📍 "&amp;IF(E51&lt;&gt;"",E51&amp;"Bilik ","")&amp;IF(F51&lt;&gt;"",F51&amp;"Bilik Air ","")&amp;IF(G51&lt;&gt;"",G51&amp;" sqft","")&amp;IF(AND(OR(E51&lt;&gt;"",G51&lt;&gt;""),H51&lt;&gt;"")," · ","")&amp;IF(H51&lt;&gt;"",SUBSTITUTE(SUBSTITUTE(SUBSTITUTE(SUBSTITUTE(SUBSTITUTE(SUBSTITUTE(SUBSTITUTE(SUBSTITUTE(SUBSTITUTE(SUBSTITUTE(H51,"游泳池","Kolam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1" s="32" t="str">
        <f aca="false">IF(OR(I51&lt;&gt;"",J51&lt;&gt;"",K51&lt;&gt;""),"🔒 "&amp;IF(I51&lt;&gt;"",I51,"")&amp;IF(AND(I51&lt;&gt;"",J51&lt;&gt;"")," · ","")&amp;IF(J51&lt;&gt;"",J51,"")&amp;IF(AND(OR(I51&lt;&gt;"",J51&lt;&gt;""),K51&lt;&gt;"")," · ","")&amp;IF(K51&lt;&gt;"",K51,""),"")</f>
        <v/>
      </c>
      <c r="V51" s="31" t="str">
        <f aca="false">IF(L51&lt;&gt;"","💰 起价 RM "&amp;TEXT(L51,"#,##0"),"")</f>
        <v/>
      </c>
      <c r="W51" s="31" t="str">
        <f aca="false">IF(L51&lt;&gt;"","💰 From RM "&amp;TEXT(L51,"#,##0"),"")</f>
        <v/>
      </c>
      <c r="X51" s="31" t="str">
        <f aca="false">IF(L51&lt;&gt;"","💰 Dari RM "&amp;TEXT(L51,"#,##0"),"")</f>
        <v/>
      </c>
      <c r="Y51" s="33" t="str">
        <f aca="false">IF(D51&lt;&gt;"","您好！我想咨询新楼盘：
🏠 "&amp;D51&amp;"
"&amp;IF(E51&lt;&gt;"","🛏 "&amp;E51&amp;"房"&amp;IF(F51&lt;&gt;""," "&amp;F51&amp;"卫","")&amp;"
","")&amp;IF(G51&lt;&gt;"","📐 "&amp;G51&amp;" sqft
","")&amp;IF(H51&lt;&gt;"","🏊 "&amp;H51&amp;"
","")&amp;IF(U51&lt;&gt;"",U51&amp;"
","")&amp;IF(L51&lt;&gt;"","💰 起价 RM "&amp;TEXT(L51,"#,##0")&amp;"
","")&amp;"
请问还有空档吗？谢谢！","")</f>
        <v/>
      </c>
      <c r="Z51" s="33" t="str">
        <f aca="false">IF(D51&lt;&gt;"","Hi! I'd like to make a new launch enquiry:
🏠 "&amp;P51&amp;"
"&amp;IF(E51&lt;&gt;"","🛏 "&amp;E51&amp;"BR"&amp;IF(F51&lt;&gt;""," "&amp;F51&amp;"BA","")&amp;"
","")&amp;IF(G51&lt;&gt;"","📐 "&amp;G51&amp;" sqft
","")&amp;IF(H51&lt;&gt;"","🏊 "&amp;SUBSTITUTE(SUBSTITUTE(SUBSTITUTE(SUBSTITUTE(SUBSTITUTE(SUBSTITUTE(SUBSTITUTE(SUBSTITUTE(SUBSTITUTE(SUBSTITUTE(H51,"游泳池","Swimming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Control"),""),"")&lt;&gt;"",IF(OR(I51&lt;&gt;"",J51&lt;&gt;"",K51&lt;&gt;""),"🔒 "&amp;IF(I51&lt;&gt;"",SUBSTITUTE(SUBSTITUTE(SUBSTITUTE(SUBSTITUTE(SUBSTITUTE(SUBSTITUTE(SUBSTITUTE(SUBSTITUTE(SUBSTITUTE(SUBSTITUTE(SUBSTITUTE(SUBSTITUTE(I51,"24小时保安","24hr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Control"),"")&amp;IF(AND(I51&lt;&gt;"",OR(J51&lt;&gt;"",K51&lt;&gt;""))," · ","")&amp;IF(J51&lt;&gt;"",SUBSTITUTE(SUBSTITUTE(SUBSTITUTE(SUBSTITUTE(SUBSTITUTE(SUBSTITUTE(SUBSTITUTE(SUBSTITUTE(SUBSTITUTE(SUBSTITUTE(SUBSTITUTE(SUBSTITUTE(J51,"24小时保安","24hr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Control"),"")&amp;IF(AND(J51&lt;&gt;"",K51&lt;&gt;"")," · ","")&amp;IF(K51&lt;&gt;"",SUBSTITUTE(SUBSTITUTE(SUBSTITUTE(SUBSTITUTE(SUBSTITUTE(SUBSTITUTE(SUBSTITUTE(SUBSTITUTE(SUBSTITUTE(SUBSTITUTE(SUBSTITUTE(SUBSTITUTE(K51,"24小时保安","24hr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","")&amp;IF(L51&lt;&gt;"","💰 From RM "&amp;TEXT(L51,"#,##0")&amp;"
","")&amp;"
Is this still available? Thank you!","")</f>
        <v/>
      </c>
      <c r="AA51" s="31"/>
      <c r="AB51" s="33" t="str">
        <f aca="false">IF(D51&lt;&gt;"","Helo! Saya ingin membuat pertanyaan projek baru:
🏠 "&amp;Q51&amp;"
"&amp;IF(E51&lt;&gt;"","🛏 "&amp;E51&amp;"Bilik"&amp;IF(F51&lt;&gt;""," "&amp;F51&amp;"Bilik Air","")&amp;"
","")&amp;IF(G51&lt;&gt;"","📐 "&amp;G51&amp;" sqft
","")&amp;IF(H51&lt;&gt;"","🏊 "&amp;SUBSTITUTE(SUBSTITUTE(SUBSTITUTE(SUBSTITUTE(SUBSTITUTE(SUBSTITUTE(SUBSTITUTE(SUBSTITUTE(SUBSTITUTE(SUBSTITUTE(H51,"游泳池","Kolam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Kawalan"),""),"")&lt;&gt;"",IF(OR(I51&lt;&gt;"",J51&lt;&gt;"",K51&lt;&gt;""),"🔒 "&amp;IF(I51&lt;&gt;"",SUBSTITUTE(SUBSTITUTE(SUBSTITUTE(SUBSTITUTE(SUBSTITUTE(SUBSTITUTE(SUBSTITUTE(SUBSTITUTE(SUBSTITUTE(SUBSTITUTE(SUBSTITUTE(SUBSTITUTE(I51,"24小时保安","Pengawal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Kawalan"),"")&amp;IF(AND(I51&lt;&gt;"",OR(J51&lt;&gt;"",K51&lt;&gt;""))," · ","")&amp;IF(J51&lt;&gt;"",SUBSTITUTE(SUBSTITUTE(SUBSTITUTE(SUBSTITUTE(SUBSTITUTE(SUBSTITUTE(SUBSTITUTE(SUBSTITUTE(SUBSTITUTE(SUBSTITUTE(SUBSTITUTE(SUBSTITUTE(J51,"24小时保安","Pengawal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Kawalan"),"")&amp;IF(AND(J51&lt;&gt;"",K51&lt;&gt;"")," · ","")&amp;IF(K51&lt;&gt;"",SUBSTITUTE(SUBSTITUTE(SUBSTITUTE(SUBSTITUTE(SUBSTITUTE(SUBSTITUTE(SUBSTITUTE(SUBSTITUTE(SUBSTITUTE(SUBSTITUTE(SUBSTITUTE(SUBSTITUTE(K51,"24小时保安","Pengawal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","")&amp;IF(L51&lt;&gt;"","💰 Dari RM "&amp;TEXT(L51,"#,##0")&amp;"
","")&amp;"
Adakah masih tersedia? Terima kasih!","")</f>
        <v/>
      </c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9"/>
      <c r="J52" s="29"/>
      <c r="K52" s="29"/>
      <c r="L52" s="28"/>
      <c r="M52" s="30"/>
      <c r="N52" s="31" t="str">
        <f aca="false">IFERROR(ifs(B52="🏢 Condo 公寓","fa-building",B52="🏠 Apartment 单位","fa-home",B52="🌿 即租即住","fa-home",B52="🌿 近国际学校","fa-school",B52="📌 商业旺铺","fa-store",B52="🌟 海景豪宅","fa-water-ladder",B52="📈 投资优选","fa-chart-line",B52="🏞️ 花园住宅","fa-tree",B52="🌟 2026全新地标","fa-drafting-compass",B52="📈 海外投资优选","fa-globe",B52="🌆 核心地段","fa-city",B52="🔥 限时优惠","fa-fire",B52="✅ 永久产权","fa-certificate",B52="🏅 高回报","fa-medal",B52="🏖️ 度假胜地","fa-umbrella-beach",B52="🏫 学区优选","fa-graduation-cap",B52="🛣️ 交通便利","fa-road",B52="🔑 即买即住","fa-key"),"fa-home")</f>
        <v>fa-home</v>
      </c>
      <c r="O52" s="31" t="str">
        <f aca="false">IF(D52&lt;&gt;"",D52,"")</f>
        <v/>
      </c>
      <c r="P52" s="31" t="str">
        <f aca="false">IF(D52&lt;&gt;"",SUBSTITUTE(SUBSTITUTE(SUBSTITUTE(SUBSTITUTE(SUBSTITUTE(SUBSTITUTE(SUBSTITUTE(SUBSTITUTE(SUBSTITUTE(SUBSTITUTE(D52,"亚庇","Kota Kinabalu"),"公寓","Condo"),"排屋","Terrace"),"别墅","Villa"),"店铺","Shop"),"新山","Johor Bahru"),"市中心","City Centre"),"高级","Premium"),"单位","Unit"),"住宅","Residence"),"")</f>
        <v/>
      </c>
      <c r="Q52" s="31" t="str">
        <f aca="false">IF(D52&lt;&gt;"",SUBSTITUTE(SUBSTITUTE(SUBSTITUTE(SUBSTITUTE(SUBSTITUTE(SUBSTITUTE(SUBSTITUTE(SUBSTITUTE(SUBSTITUTE(SUBSTITUTE(D52,"亚庇","Kota Kinabalu"),"公寓","Kondominium"),"排屋","Rumah Teres"),"别墅","Vila"),"店铺","Kedai"),"新山","Johor Bahru"),"市中心","Pusat Bandar"),"高级","Premium"),"单位","Unit"),"住宅","Kediaman"),"")</f>
        <v/>
      </c>
      <c r="R52" s="31" t="str">
        <f aca="false">IF(D52&lt;&gt;"","📍 "&amp;IF(E52&lt;&gt;"",E52&amp;"房","")&amp;IF(F52&lt;&gt;"",F52&amp;"卫 ","")&amp;IF(G52&lt;&gt;"",G52&amp;" sqft","")&amp;IF(AND(OR(E52&lt;&gt;"",G52&lt;&gt;""),H52&lt;&gt;"")," · ","")&amp;IF(H52&lt;&gt;"",H52,""),"")</f>
        <v/>
      </c>
      <c r="S52" s="31" t="str">
        <f aca="false">IF(D52&lt;&gt;"","📍 "&amp;IF(E52&lt;&gt;"",E52&amp;"BR ","")&amp;IF(F52&lt;&gt;"",F52&amp;"BA ","")&amp;IF(G52&lt;&gt;"",G52&amp;" sqft","")&amp;IF(AND(OR(E52&lt;&gt;"",G52&lt;&gt;""),H52&lt;&gt;"")," · ","")&amp;IF(H52&lt;&gt;"",SUBSTITUTE(SUBSTITUTE(SUBSTITUTE(SUBSTITUTE(SUBSTITUTE(SUBSTITUTE(SUBSTITUTE(SUBSTITUTE(SUBSTITUTE(SUBSTITUTE(H52,"游泳池","Swimming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2" s="31" t="str">
        <f aca="false">IF(D52&lt;&gt;"","📍 "&amp;IF(E52&lt;&gt;"",E52&amp;"Bilik ","")&amp;IF(F52&lt;&gt;"",F52&amp;"Bilik Air ","")&amp;IF(G52&lt;&gt;"",G52&amp;" sqft","")&amp;IF(AND(OR(E52&lt;&gt;"",G52&lt;&gt;""),H52&lt;&gt;"")," · ","")&amp;IF(H52&lt;&gt;"",SUBSTITUTE(SUBSTITUTE(SUBSTITUTE(SUBSTITUTE(SUBSTITUTE(SUBSTITUTE(SUBSTITUTE(SUBSTITUTE(SUBSTITUTE(SUBSTITUTE(H52,"游泳池","Kolam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2" s="32" t="str">
        <f aca="false">IF(OR(I52&lt;&gt;"",J52&lt;&gt;"",K52&lt;&gt;""),"🔒 "&amp;IF(I52&lt;&gt;"",I52,"")&amp;IF(AND(I52&lt;&gt;"",J52&lt;&gt;"")," · ","")&amp;IF(J52&lt;&gt;"",J52,"")&amp;IF(AND(OR(I52&lt;&gt;"",J52&lt;&gt;""),K52&lt;&gt;"")," · ","")&amp;IF(K52&lt;&gt;"",K52,""),"")</f>
        <v/>
      </c>
      <c r="V52" s="31" t="str">
        <f aca="false">IF(L52&lt;&gt;"","💰 起价 RM "&amp;TEXT(L52,"#,##0"),"")</f>
        <v/>
      </c>
      <c r="W52" s="31" t="str">
        <f aca="false">IF(L52&lt;&gt;"","💰 From RM "&amp;TEXT(L52,"#,##0"),"")</f>
        <v/>
      </c>
      <c r="X52" s="31" t="str">
        <f aca="false">IF(L52&lt;&gt;"","💰 Dari RM "&amp;TEXT(L52,"#,##0"),"")</f>
        <v/>
      </c>
      <c r="Y52" s="33" t="str">
        <f aca="false">IF(D52&lt;&gt;"","您好！我想咨询新楼盘：
🏠 "&amp;D52&amp;"
"&amp;IF(E52&lt;&gt;"","🛏 "&amp;E52&amp;"房"&amp;IF(F52&lt;&gt;""," "&amp;F52&amp;"卫","")&amp;"
","")&amp;IF(G52&lt;&gt;"","📐 "&amp;G52&amp;" sqft
","")&amp;IF(H52&lt;&gt;"","🏊 "&amp;H52&amp;"
","")&amp;IF(U52&lt;&gt;"",U52&amp;"
","")&amp;IF(L52&lt;&gt;"","💰 起价 RM "&amp;TEXT(L52,"#,##0")&amp;"
","")&amp;"
请问还有空档吗？谢谢！","")</f>
        <v/>
      </c>
      <c r="Z52" s="33" t="str">
        <f aca="false">IF(D52&lt;&gt;"","Hi! I'd like to make a new launch enquiry:
🏠 "&amp;P52&amp;"
"&amp;IF(E52&lt;&gt;"","🛏 "&amp;E52&amp;"BR"&amp;IF(F52&lt;&gt;""," "&amp;F52&amp;"BA","")&amp;"
","")&amp;IF(G52&lt;&gt;"","📐 "&amp;G52&amp;" sqft
","")&amp;IF(H52&lt;&gt;"","🏊 "&amp;SUBSTITUTE(SUBSTITUTE(SUBSTITUTE(SUBSTITUTE(SUBSTITUTE(SUBSTITUTE(SUBSTITUTE(SUBSTITUTE(SUBSTITUTE(SUBSTITUTE(H52,"游泳池","Swimming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Control"),""),"")&lt;&gt;"",IF(OR(I52&lt;&gt;"",J52&lt;&gt;"",K52&lt;&gt;""),"🔒 "&amp;IF(I52&lt;&gt;"",SUBSTITUTE(SUBSTITUTE(SUBSTITUTE(SUBSTITUTE(SUBSTITUTE(SUBSTITUTE(SUBSTITUTE(SUBSTITUTE(SUBSTITUTE(SUBSTITUTE(SUBSTITUTE(SUBSTITUTE(I52,"24小时保安","24hr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Control"),"")&amp;IF(AND(I52&lt;&gt;"",OR(J52&lt;&gt;"",K52&lt;&gt;""))," · ","")&amp;IF(J52&lt;&gt;"",SUBSTITUTE(SUBSTITUTE(SUBSTITUTE(SUBSTITUTE(SUBSTITUTE(SUBSTITUTE(SUBSTITUTE(SUBSTITUTE(SUBSTITUTE(SUBSTITUTE(SUBSTITUTE(SUBSTITUTE(J52,"24小时保安","24hr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Control"),"")&amp;IF(AND(J52&lt;&gt;"",K52&lt;&gt;"")," · ","")&amp;IF(K52&lt;&gt;"",SUBSTITUTE(SUBSTITUTE(SUBSTITUTE(SUBSTITUTE(SUBSTITUTE(SUBSTITUTE(SUBSTITUTE(SUBSTITUTE(SUBSTITUTE(SUBSTITUTE(SUBSTITUTE(SUBSTITUTE(K52,"24小时保安","24hr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","")&amp;IF(L52&lt;&gt;"","💰 From RM "&amp;TEXT(L52,"#,##0")&amp;"
","")&amp;"
Is this still available? Thank you!","")</f>
        <v/>
      </c>
      <c r="AA52" s="31"/>
      <c r="AB52" s="33" t="str">
        <f aca="false">IF(D52&lt;&gt;"","Helo! Saya ingin membuat pertanyaan projek baru:
🏠 "&amp;Q52&amp;"
"&amp;IF(E52&lt;&gt;"","🛏 "&amp;E52&amp;"Bilik"&amp;IF(F52&lt;&gt;""," "&amp;F52&amp;"Bilik Air","")&amp;"
","")&amp;IF(G52&lt;&gt;"","📐 "&amp;G52&amp;" sqft
","")&amp;IF(H52&lt;&gt;"","🏊 "&amp;SUBSTITUTE(SUBSTITUTE(SUBSTITUTE(SUBSTITUTE(SUBSTITUTE(SUBSTITUTE(SUBSTITUTE(SUBSTITUTE(SUBSTITUTE(SUBSTITUTE(H52,"游泳池","Kolam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Kawalan"),""),"")&lt;&gt;"",IF(OR(I52&lt;&gt;"",J52&lt;&gt;"",K52&lt;&gt;""),"🔒 "&amp;IF(I52&lt;&gt;"",SUBSTITUTE(SUBSTITUTE(SUBSTITUTE(SUBSTITUTE(SUBSTITUTE(SUBSTITUTE(SUBSTITUTE(SUBSTITUTE(SUBSTITUTE(SUBSTITUTE(SUBSTITUTE(SUBSTITUTE(I52,"24小时保安","Pengawal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Kawalan"),"")&amp;IF(AND(I52&lt;&gt;"",OR(J52&lt;&gt;"",K52&lt;&gt;""))," · ","")&amp;IF(J52&lt;&gt;"",SUBSTITUTE(SUBSTITUTE(SUBSTITUTE(SUBSTITUTE(SUBSTITUTE(SUBSTITUTE(SUBSTITUTE(SUBSTITUTE(SUBSTITUTE(SUBSTITUTE(SUBSTITUTE(SUBSTITUTE(J52,"24小时保安","Pengawal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Kawalan"),"")&amp;IF(AND(J52&lt;&gt;"",K52&lt;&gt;"")," · ","")&amp;IF(K52&lt;&gt;"",SUBSTITUTE(SUBSTITUTE(SUBSTITUTE(SUBSTITUTE(SUBSTITUTE(SUBSTITUTE(SUBSTITUTE(SUBSTITUTE(SUBSTITUTE(SUBSTITUTE(SUBSTITUTE(SUBSTITUTE(K52,"24小时保安","Pengawal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","")&amp;IF(L52&lt;&gt;"","💰 Dari RM "&amp;TEXT(L52,"#,##0")&amp;"
","")&amp;"
Adakah masih tersedia? Terima kasih!","")</f>
        <v/>
      </c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9"/>
      <c r="J53" s="29"/>
      <c r="K53" s="29"/>
      <c r="L53" s="28"/>
      <c r="M53" s="30"/>
      <c r="N53" s="31" t="str">
        <f aca="false">IFERROR(ifs(B53="🏢 Condo 公寓","fa-building",B53="🏠 Apartment 单位","fa-home",B53="🌿 即租即住","fa-home",B53="🌿 近国际学校","fa-school",B53="📌 商业旺铺","fa-store",B53="🌟 海景豪宅","fa-water-ladder",B53="📈 投资优选","fa-chart-line",B53="🏞️ 花园住宅","fa-tree",B53="🌟 2026全新地标","fa-drafting-compass",B53="📈 海外投资优选","fa-globe",B53="🌆 核心地段","fa-city",B53="🔥 限时优惠","fa-fire",B53="✅ 永久产权","fa-certificate",B53="🏅 高回报","fa-medal",B53="🏖️ 度假胜地","fa-umbrella-beach",B53="🏫 学区优选","fa-graduation-cap",B53="🛣️ 交通便利","fa-road",B53="🔑 即买即住","fa-key"),"fa-home")</f>
        <v>fa-home</v>
      </c>
      <c r="O53" s="31" t="str">
        <f aca="false">IF(D53&lt;&gt;"",D53,"")</f>
        <v/>
      </c>
      <c r="P53" s="31" t="str">
        <f aca="false">IF(D53&lt;&gt;"",SUBSTITUTE(SUBSTITUTE(SUBSTITUTE(SUBSTITUTE(SUBSTITUTE(SUBSTITUTE(SUBSTITUTE(SUBSTITUTE(SUBSTITUTE(SUBSTITUTE(D53,"亚庇","Kota Kinabalu"),"公寓","Condo"),"排屋","Terrace"),"别墅","Villa"),"店铺","Shop"),"新山","Johor Bahru"),"市中心","City Centre"),"高级","Premium"),"单位","Unit"),"住宅","Residence"),"")</f>
        <v/>
      </c>
      <c r="Q53" s="31" t="str">
        <f aca="false">IF(D53&lt;&gt;"",SUBSTITUTE(SUBSTITUTE(SUBSTITUTE(SUBSTITUTE(SUBSTITUTE(SUBSTITUTE(SUBSTITUTE(SUBSTITUTE(SUBSTITUTE(SUBSTITUTE(D53,"亚庇","Kota Kinabalu"),"公寓","Kondominium"),"排屋","Rumah Teres"),"别墅","Vila"),"店铺","Kedai"),"新山","Johor Bahru"),"市中心","Pusat Bandar"),"高级","Premium"),"单位","Unit"),"住宅","Kediaman"),"")</f>
        <v/>
      </c>
      <c r="R53" s="31" t="str">
        <f aca="false">IF(D53&lt;&gt;"","📍 "&amp;IF(E53&lt;&gt;"",E53&amp;"房","")&amp;IF(F53&lt;&gt;"",F53&amp;"卫 ","")&amp;IF(G53&lt;&gt;"",G53&amp;" sqft","")&amp;IF(AND(OR(E53&lt;&gt;"",G53&lt;&gt;""),H53&lt;&gt;"")," · ","")&amp;IF(H53&lt;&gt;"",H53,""),"")</f>
        <v/>
      </c>
      <c r="S53" s="31" t="str">
        <f aca="false">IF(D53&lt;&gt;"","📍 "&amp;IF(E53&lt;&gt;"",E53&amp;"BR ","")&amp;IF(F53&lt;&gt;"",F53&amp;"BA ","")&amp;IF(G53&lt;&gt;"",G53&amp;" sqft","")&amp;IF(AND(OR(E53&lt;&gt;"",G53&lt;&gt;""),H53&lt;&gt;"")," · ","")&amp;IF(H53&lt;&gt;"",SUBSTITUTE(SUBSTITUTE(SUBSTITUTE(SUBSTITUTE(SUBSTITUTE(SUBSTITUTE(SUBSTITUTE(SUBSTITUTE(SUBSTITUTE(SUBSTITUTE(H53,"游泳池","Swimming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3" s="31" t="str">
        <f aca="false">IF(D53&lt;&gt;"","📍 "&amp;IF(E53&lt;&gt;"",E53&amp;"Bilik ","")&amp;IF(F53&lt;&gt;"",F53&amp;"Bilik Air ","")&amp;IF(G53&lt;&gt;"",G53&amp;" sqft","")&amp;IF(AND(OR(E53&lt;&gt;"",G53&lt;&gt;""),H53&lt;&gt;"")," · ","")&amp;IF(H53&lt;&gt;"",SUBSTITUTE(SUBSTITUTE(SUBSTITUTE(SUBSTITUTE(SUBSTITUTE(SUBSTITUTE(SUBSTITUTE(SUBSTITUTE(SUBSTITUTE(SUBSTITUTE(H53,"游泳池","Kolam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3" s="32" t="str">
        <f aca="false">IF(OR(I53&lt;&gt;"",J53&lt;&gt;"",K53&lt;&gt;""),"🔒 "&amp;IF(I53&lt;&gt;"",I53,"")&amp;IF(AND(I53&lt;&gt;"",J53&lt;&gt;"")," · ","")&amp;IF(J53&lt;&gt;"",J53,"")&amp;IF(AND(OR(I53&lt;&gt;"",J53&lt;&gt;""),K53&lt;&gt;"")," · ","")&amp;IF(K53&lt;&gt;"",K53,""),"")</f>
        <v/>
      </c>
      <c r="V53" s="31" t="str">
        <f aca="false">IF(L53&lt;&gt;"","💰 起价 RM "&amp;TEXT(L53,"#,##0"),"")</f>
        <v/>
      </c>
      <c r="W53" s="31" t="str">
        <f aca="false">IF(L53&lt;&gt;"","💰 From RM "&amp;TEXT(L53,"#,##0"),"")</f>
        <v/>
      </c>
      <c r="X53" s="31" t="str">
        <f aca="false">IF(L53&lt;&gt;"","💰 Dari RM "&amp;TEXT(L53,"#,##0"),"")</f>
        <v/>
      </c>
      <c r="Y53" s="33" t="str">
        <f aca="false">IF(D53&lt;&gt;"","您好！我想咨询新楼盘：
🏠 "&amp;D53&amp;"
"&amp;IF(E53&lt;&gt;"","🛏 "&amp;E53&amp;"房"&amp;IF(F53&lt;&gt;""," "&amp;F53&amp;"卫","")&amp;"
","")&amp;IF(G53&lt;&gt;"","📐 "&amp;G53&amp;" sqft
","")&amp;IF(H53&lt;&gt;"","🏊 "&amp;H53&amp;"
","")&amp;IF(U53&lt;&gt;"",U53&amp;"
","")&amp;IF(L53&lt;&gt;"","💰 起价 RM "&amp;TEXT(L53,"#,##0")&amp;"
","")&amp;"
请问还有空档吗？谢谢！","")</f>
        <v/>
      </c>
      <c r="Z53" s="33" t="str">
        <f aca="false">IF(D53&lt;&gt;"","Hi! I'd like to make a new launch enquiry:
🏠 "&amp;P53&amp;"
"&amp;IF(E53&lt;&gt;"","🛏 "&amp;E53&amp;"BR"&amp;IF(F53&lt;&gt;""," "&amp;F53&amp;"BA","")&amp;"
","")&amp;IF(G53&lt;&gt;"","📐 "&amp;G53&amp;" sqft
","")&amp;IF(H53&lt;&gt;"","🏊 "&amp;SUBSTITUTE(SUBSTITUTE(SUBSTITUTE(SUBSTITUTE(SUBSTITUTE(SUBSTITUTE(SUBSTITUTE(SUBSTITUTE(SUBSTITUTE(SUBSTITUTE(H53,"游泳池","Swimming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Control"),""),"")&lt;&gt;"",IF(OR(I53&lt;&gt;"",J53&lt;&gt;"",K53&lt;&gt;""),"🔒 "&amp;IF(I53&lt;&gt;"",SUBSTITUTE(SUBSTITUTE(SUBSTITUTE(SUBSTITUTE(SUBSTITUTE(SUBSTITUTE(SUBSTITUTE(SUBSTITUTE(SUBSTITUTE(SUBSTITUTE(SUBSTITUTE(SUBSTITUTE(I53,"24小时保安","24hr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Control"),"")&amp;IF(AND(I53&lt;&gt;"",OR(J53&lt;&gt;"",K53&lt;&gt;""))," · ","")&amp;IF(J53&lt;&gt;"",SUBSTITUTE(SUBSTITUTE(SUBSTITUTE(SUBSTITUTE(SUBSTITUTE(SUBSTITUTE(SUBSTITUTE(SUBSTITUTE(SUBSTITUTE(SUBSTITUTE(SUBSTITUTE(SUBSTITUTE(J53,"24小时保安","24hr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Control"),"")&amp;IF(AND(J53&lt;&gt;"",K53&lt;&gt;"")," · ","")&amp;IF(K53&lt;&gt;"",SUBSTITUTE(SUBSTITUTE(SUBSTITUTE(SUBSTITUTE(SUBSTITUTE(SUBSTITUTE(SUBSTITUTE(SUBSTITUTE(SUBSTITUTE(SUBSTITUTE(SUBSTITUTE(SUBSTITUTE(K53,"24小时保安","24hr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","")&amp;IF(L53&lt;&gt;"","💰 From RM "&amp;TEXT(L53,"#,##0")&amp;"
","")&amp;"
Is this still available? Thank you!","")</f>
        <v/>
      </c>
      <c r="AA53" s="31"/>
      <c r="AB53" s="33" t="str">
        <f aca="false">IF(D53&lt;&gt;"","Helo! Saya ingin membuat pertanyaan projek baru:
🏠 "&amp;Q53&amp;"
"&amp;IF(E53&lt;&gt;"","🛏 "&amp;E53&amp;"Bilik"&amp;IF(F53&lt;&gt;""," "&amp;F53&amp;"Bilik Air","")&amp;"
","")&amp;IF(G53&lt;&gt;"","📐 "&amp;G53&amp;" sqft
","")&amp;IF(H53&lt;&gt;"","🏊 "&amp;SUBSTITUTE(SUBSTITUTE(SUBSTITUTE(SUBSTITUTE(SUBSTITUTE(SUBSTITUTE(SUBSTITUTE(SUBSTITUTE(SUBSTITUTE(SUBSTITUTE(H53,"游泳池","Kolam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Kawalan"),""),"")&lt;&gt;"",IF(OR(I53&lt;&gt;"",J53&lt;&gt;"",K53&lt;&gt;""),"🔒 "&amp;IF(I53&lt;&gt;"",SUBSTITUTE(SUBSTITUTE(SUBSTITUTE(SUBSTITUTE(SUBSTITUTE(SUBSTITUTE(SUBSTITUTE(SUBSTITUTE(SUBSTITUTE(SUBSTITUTE(SUBSTITUTE(SUBSTITUTE(I53,"24小时保安","Pengawal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Kawalan"),"")&amp;IF(AND(I53&lt;&gt;"",OR(J53&lt;&gt;"",K53&lt;&gt;""))," · ","")&amp;IF(J53&lt;&gt;"",SUBSTITUTE(SUBSTITUTE(SUBSTITUTE(SUBSTITUTE(SUBSTITUTE(SUBSTITUTE(SUBSTITUTE(SUBSTITUTE(SUBSTITUTE(SUBSTITUTE(SUBSTITUTE(SUBSTITUTE(J53,"24小时保安","Pengawal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Kawalan"),"")&amp;IF(AND(J53&lt;&gt;"",K53&lt;&gt;"")," · ","")&amp;IF(K53&lt;&gt;"",SUBSTITUTE(SUBSTITUTE(SUBSTITUTE(SUBSTITUTE(SUBSTITUTE(SUBSTITUTE(SUBSTITUTE(SUBSTITUTE(SUBSTITUTE(SUBSTITUTE(SUBSTITUTE(SUBSTITUTE(K53,"24小时保安","Pengawal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","")&amp;IF(L53&lt;&gt;"","💰 Dari RM "&amp;TEXT(L53,"#,##0")&amp;"
","")&amp;"
Adakah masih tersedia? Terima kasih!","")</f>
        <v/>
      </c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9"/>
      <c r="J54" s="29"/>
      <c r="K54" s="29"/>
      <c r="L54" s="28"/>
      <c r="M54" s="30"/>
      <c r="N54" s="31" t="str">
        <f aca="false">IFERROR(ifs(B54="🏢 Condo 公寓","fa-building",B54="🏠 Apartment 单位","fa-home",B54="🌿 即租即住","fa-home",B54="🌿 近国际学校","fa-school",B54="📌 商业旺铺","fa-store",B54="🌟 海景豪宅","fa-water-ladder",B54="📈 投资优选","fa-chart-line",B54="🏞️ 花园住宅","fa-tree",B54="🌟 2026全新地标","fa-drafting-compass",B54="📈 海外投资优选","fa-globe",B54="🌆 核心地段","fa-city",B54="🔥 限时优惠","fa-fire",B54="✅ 永久产权","fa-certificate",B54="🏅 高回报","fa-medal",B54="🏖️ 度假胜地","fa-umbrella-beach",B54="🏫 学区优选","fa-graduation-cap",B54="🛣️ 交通便利","fa-road",B54="🔑 即买即住","fa-key"),"fa-home")</f>
        <v>fa-home</v>
      </c>
      <c r="O54" s="31" t="str">
        <f aca="false">IF(D54&lt;&gt;"",D54,"")</f>
        <v/>
      </c>
      <c r="P54" s="31" t="str">
        <f aca="false">IF(D54&lt;&gt;"",SUBSTITUTE(SUBSTITUTE(SUBSTITUTE(SUBSTITUTE(SUBSTITUTE(SUBSTITUTE(SUBSTITUTE(SUBSTITUTE(SUBSTITUTE(SUBSTITUTE(D54,"亚庇","Kota Kinabalu"),"公寓","Condo"),"排屋","Terrace"),"别墅","Villa"),"店铺","Shop"),"新山","Johor Bahru"),"市中心","City Centre"),"高级","Premium"),"单位","Unit"),"住宅","Residence"),"")</f>
        <v/>
      </c>
      <c r="Q54" s="31" t="str">
        <f aca="false">IF(D54&lt;&gt;"",SUBSTITUTE(SUBSTITUTE(SUBSTITUTE(SUBSTITUTE(SUBSTITUTE(SUBSTITUTE(SUBSTITUTE(SUBSTITUTE(SUBSTITUTE(SUBSTITUTE(D54,"亚庇","Kota Kinabalu"),"公寓","Kondominium"),"排屋","Rumah Teres"),"别墅","Vila"),"店铺","Kedai"),"新山","Johor Bahru"),"市中心","Pusat Bandar"),"高级","Premium"),"单位","Unit"),"住宅","Kediaman"),"")</f>
        <v/>
      </c>
      <c r="R54" s="31" t="str">
        <f aca="false">IF(D54&lt;&gt;"","📍 "&amp;IF(E54&lt;&gt;"",E54&amp;"房","")&amp;IF(F54&lt;&gt;"",F54&amp;"卫 ","")&amp;IF(G54&lt;&gt;"",G54&amp;" sqft","")&amp;IF(AND(OR(E54&lt;&gt;"",G54&lt;&gt;""),H54&lt;&gt;"")," · ","")&amp;IF(H54&lt;&gt;"",H54,""),"")</f>
        <v/>
      </c>
      <c r="S54" s="31" t="str">
        <f aca="false">IF(D54&lt;&gt;"","📍 "&amp;IF(E54&lt;&gt;"",E54&amp;"BR ","")&amp;IF(F54&lt;&gt;"",F54&amp;"BA ","")&amp;IF(G54&lt;&gt;"",G54&amp;" sqft","")&amp;IF(AND(OR(E54&lt;&gt;"",G54&lt;&gt;""),H54&lt;&gt;"")," · ","")&amp;IF(H54&lt;&gt;"",SUBSTITUTE(SUBSTITUTE(SUBSTITUTE(SUBSTITUTE(SUBSTITUTE(SUBSTITUTE(SUBSTITUTE(SUBSTITUTE(SUBSTITUTE(SUBSTITUTE(H54,"游泳池","Swimming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4" s="31" t="str">
        <f aca="false">IF(D54&lt;&gt;"","📍 "&amp;IF(E54&lt;&gt;"",E54&amp;"Bilik ","")&amp;IF(F54&lt;&gt;"",F54&amp;"Bilik Air ","")&amp;IF(G54&lt;&gt;"",G54&amp;" sqft","")&amp;IF(AND(OR(E54&lt;&gt;"",G54&lt;&gt;""),H54&lt;&gt;"")," · ","")&amp;IF(H54&lt;&gt;"",SUBSTITUTE(SUBSTITUTE(SUBSTITUTE(SUBSTITUTE(SUBSTITUTE(SUBSTITUTE(SUBSTITUTE(SUBSTITUTE(SUBSTITUTE(SUBSTITUTE(H54,"游泳池","Kolam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4" s="32" t="str">
        <f aca="false">IF(OR(I54&lt;&gt;"",J54&lt;&gt;"",K54&lt;&gt;""),"🔒 "&amp;IF(I54&lt;&gt;"",I54,"")&amp;IF(AND(I54&lt;&gt;"",J54&lt;&gt;"")," · ","")&amp;IF(J54&lt;&gt;"",J54,"")&amp;IF(AND(OR(I54&lt;&gt;"",J54&lt;&gt;""),K54&lt;&gt;"")," · ","")&amp;IF(K54&lt;&gt;"",K54,""),"")</f>
        <v/>
      </c>
      <c r="V54" s="31" t="str">
        <f aca="false">IF(L54&lt;&gt;"","💰 起价 RM "&amp;TEXT(L54,"#,##0"),"")</f>
        <v/>
      </c>
      <c r="W54" s="31" t="str">
        <f aca="false">IF(L54&lt;&gt;"","💰 From RM "&amp;TEXT(L54,"#,##0"),"")</f>
        <v/>
      </c>
      <c r="X54" s="31" t="str">
        <f aca="false">IF(L54&lt;&gt;"","💰 Dari RM "&amp;TEXT(L54,"#,##0"),"")</f>
        <v/>
      </c>
      <c r="Y54" s="33" t="str">
        <f aca="false">IF(D54&lt;&gt;"","您好！我想咨询新楼盘：
🏠 "&amp;D54&amp;"
"&amp;IF(E54&lt;&gt;"","🛏 "&amp;E54&amp;"房"&amp;IF(F54&lt;&gt;""," "&amp;F54&amp;"卫","")&amp;"
","")&amp;IF(G54&lt;&gt;"","📐 "&amp;G54&amp;" sqft
","")&amp;IF(H54&lt;&gt;"","🏊 "&amp;H54&amp;"
","")&amp;IF(U54&lt;&gt;"",U54&amp;"
","")&amp;IF(L54&lt;&gt;"","💰 起价 RM "&amp;TEXT(L54,"#,##0")&amp;"
","")&amp;"
请问还有空档吗？谢谢！","")</f>
        <v/>
      </c>
      <c r="Z54" s="33" t="str">
        <f aca="false">IF(D54&lt;&gt;"","Hi! I'd like to make a new launch enquiry:
🏠 "&amp;P54&amp;"
"&amp;IF(E54&lt;&gt;"","🛏 "&amp;E54&amp;"BR"&amp;IF(F54&lt;&gt;""," "&amp;F54&amp;"BA","")&amp;"
","")&amp;IF(G54&lt;&gt;"","📐 "&amp;G54&amp;" sqft
","")&amp;IF(H54&lt;&gt;"","🏊 "&amp;SUBSTITUTE(SUBSTITUTE(SUBSTITUTE(SUBSTITUTE(SUBSTITUTE(SUBSTITUTE(SUBSTITUTE(SUBSTITUTE(SUBSTITUTE(SUBSTITUTE(H54,"游泳池","Swimming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Control"),""),"")&lt;&gt;"",IF(OR(I54&lt;&gt;"",J54&lt;&gt;"",K54&lt;&gt;""),"🔒 "&amp;IF(I54&lt;&gt;"",SUBSTITUTE(SUBSTITUTE(SUBSTITUTE(SUBSTITUTE(SUBSTITUTE(SUBSTITUTE(SUBSTITUTE(SUBSTITUTE(SUBSTITUTE(SUBSTITUTE(SUBSTITUTE(SUBSTITUTE(I54,"24小时保安","24hr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Control"),"")&amp;IF(AND(I54&lt;&gt;"",OR(J54&lt;&gt;"",K54&lt;&gt;""))," · ","")&amp;IF(J54&lt;&gt;"",SUBSTITUTE(SUBSTITUTE(SUBSTITUTE(SUBSTITUTE(SUBSTITUTE(SUBSTITUTE(SUBSTITUTE(SUBSTITUTE(SUBSTITUTE(SUBSTITUTE(SUBSTITUTE(SUBSTITUTE(J54,"24小时保安","24hr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Control"),"")&amp;IF(AND(J54&lt;&gt;"",K54&lt;&gt;"")," · ","")&amp;IF(K54&lt;&gt;"",SUBSTITUTE(SUBSTITUTE(SUBSTITUTE(SUBSTITUTE(SUBSTITUTE(SUBSTITUTE(SUBSTITUTE(SUBSTITUTE(SUBSTITUTE(SUBSTITUTE(SUBSTITUTE(SUBSTITUTE(K54,"24小时保安","24hr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","")&amp;IF(L54&lt;&gt;"","💰 From RM "&amp;TEXT(L54,"#,##0")&amp;"
","")&amp;"
Is this still available? Thank you!","")</f>
        <v/>
      </c>
      <c r="AA54" s="31"/>
      <c r="AB54" s="33" t="str">
        <f aca="false">IF(D54&lt;&gt;"","Helo! Saya ingin membuat pertanyaan projek baru:
🏠 "&amp;Q54&amp;"
"&amp;IF(E54&lt;&gt;"","🛏 "&amp;E54&amp;"Bilik"&amp;IF(F54&lt;&gt;""," "&amp;F54&amp;"Bilik Air","")&amp;"
","")&amp;IF(G54&lt;&gt;"","📐 "&amp;G54&amp;" sqft
","")&amp;IF(H54&lt;&gt;"","🏊 "&amp;SUBSTITUTE(SUBSTITUTE(SUBSTITUTE(SUBSTITUTE(SUBSTITUTE(SUBSTITUTE(SUBSTITUTE(SUBSTITUTE(SUBSTITUTE(SUBSTITUTE(H54,"游泳池","Kolam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Kawalan"),""),"")&lt;&gt;"",IF(OR(I54&lt;&gt;"",J54&lt;&gt;"",K54&lt;&gt;""),"🔒 "&amp;IF(I54&lt;&gt;"",SUBSTITUTE(SUBSTITUTE(SUBSTITUTE(SUBSTITUTE(SUBSTITUTE(SUBSTITUTE(SUBSTITUTE(SUBSTITUTE(SUBSTITUTE(SUBSTITUTE(SUBSTITUTE(SUBSTITUTE(I54,"24小时保安","Pengawal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Kawalan"),"")&amp;IF(AND(I54&lt;&gt;"",OR(J54&lt;&gt;"",K54&lt;&gt;""))," · ","")&amp;IF(J54&lt;&gt;"",SUBSTITUTE(SUBSTITUTE(SUBSTITUTE(SUBSTITUTE(SUBSTITUTE(SUBSTITUTE(SUBSTITUTE(SUBSTITUTE(SUBSTITUTE(SUBSTITUTE(SUBSTITUTE(SUBSTITUTE(J54,"24小时保安","Pengawal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Kawalan"),"")&amp;IF(AND(J54&lt;&gt;"",K54&lt;&gt;"")," · ","")&amp;IF(K54&lt;&gt;"",SUBSTITUTE(SUBSTITUTE(SUBSTITUTE(SUBSTITUTE(SUBSTITUTE(SUBSTITUTE(SUBSTITUTE(SUBSTITUTE(SUBSTITUTE(SUBSTITUTE(SUBSTITUTE(SUBSTITUTE(K54,"24小时保安","Pengawal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","")&amp;IF(L54&lt;&gt;"","💰 Dari RM "&amp;TEXT(L54,"#,##0")&amp;"
","")&amp;"
Adakah masih tersedia? Terima kasih!","")</f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2">
    <cfRule type="containsText" priority="2" operator="containsText" aboveAverage="0" equalAverage="0" bottom="0" percent="0" rank="0" text="inactive" dxfId="0">
      <formula>NOT(ISERROR(SEARCH("inactive",A5)))</formula>
    </cfRule>
  </conditionalFormatting>
  <dataValidations count="8">
    <dataValidation allowBlank="true" errorStyle="stop" operator="between" showDropDown="false" showErrorMessage="false" showInputMessage="false" sqref="A5:A54" type="list">
      <formula1>"active,inactive"</formula1>
      <formula2>0</formula2>
    </dataValidation>
    <dataValidation allowBlank="true" errorStyle="stop" operator="between" showDropDown="false" showErrorMessage="false" showInputMessage="false" sqref="B5:B54" type="list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  <formula2>0</formula2>
    </dataValidation>
    <dataValidation allowBlank="true" errorStyle="stop" operator="between" showDropDown="false" showErrorMessage="false" showInputMessage="false" sqref="F5:F54" type="list">
      <formula1>"1,2,3,4,5"</formula1>
      <formula2>0</formula2>
    </dataValidation>
    <dataValidation allowBlank="true" errorStyle="stop" operator="between" showDropDown="false" showErrorMessage="false" showInputMessage="false" sqref="E5:E54" type="list">
      <formula1>"Studio,1,2,3,4,5,6"</formula1>
      <formula2>0</formula2>
    </dataValidation>
    <dataValidation allowBlank="true" errorStyle="stop" operator="between" showDropDown="false" showErrorMessage="false" showInputMessage="false" sqref="I5:I54" type="list">
      <formula1>"24小时保安,保安亭,无保安"</formula1>
      <formula2>0</formula2>
    </dataValidation>
    <dataValidation allowBlank="true" errorStyle="stop" operator="between" showDropDown="false" showErrorMessage="false" showInputMessage="false" sqref="J5:J54" type="list">
      <formula1>"CCTV监控,无CCTV监控"</formula1>
      <formula2>0</formula2>
    </dataValidation>
    <dataValidation allowBlank="true" errorStyle="stop" operator="between" showDropDown="false" showErrorMessage="false" showInputMessage="false" sqref="K5:K54" type="list">
      <formula1>"等级1门禁,等级2门禁,等级3门禁,等级4门禁,等级5门禁,等级6门禁,无门禁"</formula1>
      <formula2>0</formula2>
    </dataValidation>
    <dataValidation allowBlank="true" errorStyle="stop" operator="between" showDropDown="false" showErrorMessage="false" showInputMessage="false" sqref="M5:M54" type="list">
      <formula1>"已出租 Rented,已售出 Sold,装修中 Renovating,议价空间 Negotiable,业主急售 Urgent,新上市 New Listing,独家代理 Exclusive,联系业主 Contact Owner,看房需预约 By Appt,短租可议 Short Stay"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2026-04-30T07:07:49Z</dcterms:created>
  <dc:creator>openpyxl</dc:creator>
  <dc:description/>
  <dc:language>en-US</dc:language>
  <cp:lastModifiedBy/>
  <dcterms:modified xsi:type="dcterms:W3CDTF">2026-05-10T17:17:22Z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